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easydays/Downloads/"/>
    </mc:Choice>
  </mc:AlternateContent>
  <xr:revisionPtr revIDLastSave="0" documentId="13_ncr:1_{C04C1C71-6B12-1243-B9C8-2DC9C1444FD8}" xr6:coauthVersionLast="47" xr6:coauthVersionMax="47" xr10:uidLastSave="{00000000-0000-0000-0000-000000000000}"/>
  <bookViews>
    <workbookView xWindow="0" yWindow="0" windowWidth="28800" windowHeight="18000" tabRatio="500" activeTab="3" xr2:uid="{00000000-000D-0000-FFFF-FFFF00000000}"/>
  </bookViews>
  <sheets>
    <sheet name="AR_Data" sheetId="1" r:id="rId1"/>
    <sheet name="Aging_Policy" sheetId="2" r:id="rId2"/>
    <sheet name="AR_Aging_Summary_VBA" sheetId="5" r:id="rId3"/>
    <sheet name="AR_Aging_Summary" sheetId="3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22" i="3" l="1"/>
  <c r="D21" i="3"/>
  <c r="E21" i="3" s="1"/>
  <c r="F21" i="3" s="1"/>
  <c r="C21" i="3"/>
  <c r="B21" i="3"/>
  <c r="A21" i="3"/>
  <c r="C20" i="3"/>
  <c r="B20" i="3"/>
  <c r="D20" i="3" s="1"/>
  <c r="E20" i="3" s="1"/>
  <c r="F20" i="3" s="1"/>
  <c r="A20" i="3"/>
  <c r="C19" i="3"/>
  <c r="B19" i="3"/>
  <c r="D19" i="3" s="1"/>
  <c r="E19" i="3" s="1"/>
  <c r="A19" i="3"/>
  <c r="C18" i="3"/>
  <c r="B18" i="3"/>
  <c r="D18" i="3" s="1"/>
  <c r="E18" i="3" s="1"/>
  <c r="F18" i="3" s="1"/>
  <c r="A18" i="3"/>
  <c r="D17" i="3"/>
  <c r="E17" i="3" s="1"/>
  <c r="C17" i="3"/>
  <c r="B17" i="3"/>
  <c r="A17" i="3"/>
  <c r="C16" i="3"/>
  <c r="B16" i="3"/>
  <c r="D16" i="3" s="1"/>
  <c r="E16" i="3" s="1"/>
  <c r="A16" i="3"/>
  <c r="C15" i="3"/>
  <c r="B15" i="3"/>
  <c r="D15" i="3" s="1"/>
  <c r="E15" i="3" s="1"/>
  <c r="A15" i="3"/>
  <c r="C14" i="3"/>
  <c r="B14" i="3"/>
  <c r="D14" i="3" s="1"/>
  <c r="E14" i="3" s="1"/>
  <c r="F14" i="3" s="1"/>
  <c r="A14" i="3"/>
  <c r="D13" i="3"/>
  <c r="E13" i="3" s="1"/>
  <c r="C13" i="3"/>
  <c r="B13" i="3"/>
  <c r="A13" i="3"/>
  <c r="C12" i="3"/>
  <c r="B12" i="3"/>
  <c r="D12" i="3" s="1"/>
  <c r="E12" i="3" s="1"/>
  <c r="A12" i="3"/>
  <c r="C11" i="3"/>
  <c r="B11" i="3"/>
  <c r="D11" i="3" s="1"/>
  <c r="E11" i="3" s="1"/>
  <c r="A11" i="3"/>
  <c r="C10" i="3"/>
  <c r="B10" i="3"/>
  <c r="D10" i="3" s="1"/>
  <c r="E10" i="3" s="1"/>
  <c r="F10" i="3" s="1"/>
  <c r="A10" i="3"/>
  <c r="D9" i="3"/>
  <c r="E9" i="3" s="1"/>
  <c r="C9" i="3"/>
  <c r="B9" i="3"/>
  <c r="A9" i="3"/>
  <c r="C8" i="3"/>
  <c r="B8" i="3"/>
  <c r="D8" i="3" s="1"/>
  <c r="E8" i="3" s="1"/>
  <c r="A8" i="3"/>
  <c r="C7" i="3"/>
  <c r="B7" i="3"/>
  <c r="D7" i="3" s="1"/>
  <c r="E7" i="3" s="1"/>
  <c r="A7" i="3"/>
  <c r="C6" i="3"/>
  <c r="B6" i="3"/>
  <c r="D6" i="3" s="1"/>
  <c r="E6" i="3" s="1"/>
  <c r="F6" i="3" s="1"/>
  <c r="A6" i="3"/>
  <c r="D5" i="3"/>
  <c r="E5" i="3" s="1"/>
  <c r="C5" i="3"/>
  <c r="B5" i="3"/>
  <c r="A5" i="3"/>
  <c r="D4" i="3"/>
  <c r="E4" i="3" s="1"/>
  <c r="C4" i="3"/>
  <c r="B4" i="3"/>
  <c r="A4" i="3"/>
  <c r="C3" i="3"/>
  <c r="B3" i="3"/>
  <c r="D3" i="3" s="1"/>
  <c r="E3" i="3" s="1"/>
  <c r="A3" i="3"/>
  <c r="C2" i="3"/>
  <c r="B2" i="3"/>
  <c r="D2" i="3" s="1"/>
  <c r="E2" i="3" s="1"/>
  <c r="A2" i="3"/>
  <c r="F13" i="3" l="1"/>
  <c r="F5" i="3"/>
  <c r="F9" i="3"/>
  <c r="F8" i="3"/>
  <c r="F7" i="3"/>
  <c r="F12" i="3"/>
  <c r="F17" i="3"/>
  <c r="F3" i="3"/>
  <c r="C27" i="3" s="1"/>
  <c r="F15" i="3"/>
  <c r="F4" i="3"/>
  <c r="F11" i="3"/>
  <c r="F16" i="3"/>
  <c r="C26" i="3" s="1"/>
  <c r="B29" i="3"/>
  <c r="F2" i="3"/>
  <c r="B28" i="3"/>
  <c r="B27" i="3"/>
  <c r="B26" i="3"/>
  <c r="F19" i="3"/>
  <c r="C28" i="3" l="1"/>
  <c r="C29" i="3"/>
  <c r="F2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" authorId="0" shapeId="0" xr:uid="{00000000-0006-0000-0200-000001000000}">
      <text>
        <r>
          <rPr>
            <sz val="10"/>
            <rFont val="Noto Sans CJK SC"/>
            <family val="2"/>
          </rPr>
          <t xml:space="preserve">경과일수는 </t>
        </r>
        <r>
          <rPr>
            <sz val="10"/>
            <rFont val="Arial"/>
            <family val="2"/>
          </rPr>
          <t xml:space="preserve">TODAY() </t>
        </r>
        <r>
          <rPr>
            <sz val="10"/>
            <rFont val="Noto Sans CJK SC"/>
            <family val="2"/>
          </rPr>
          <t>기준이라 파일을 여는 날짜에 따라 값이 달라집니다</t>
        </r>
        <r>
          <rPr>
            <sz val="10"/>
            <rFont val="Arial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<sst xmlns="http://schemas.openxmlformats.org/spreadsheetml/2006/main" count="77" uniqueCount="72">
  <si>
    <t>거래처명</t>
  </si>
  <si>
    <t>채권발생일</t>
  </si>
  <si>
    <t>채권금액</t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</si>
  <si>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A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</si>
  <si>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B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</si>
  <si>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C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</si>
  <si>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D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</si>
  <si>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E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</si>
  <si>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F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</si>
  <si>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G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</si>
  <si>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H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</si>
  <si>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I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</si>
  <si>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J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</si>
  <si>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K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</si>
  <si>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L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</si>
  <si>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M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</si>
  <si>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N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</si>
  <si>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O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</si>
  <si>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P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</si>
  <si>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Q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</si>
  <si>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R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</si>
  <si>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S</t>
    </r>
  </si>
  <si>
    <r>
      <rPr>
        <sz val="11"/>
        <rFont val="Noto Sans CJK SC"/>
        <family val="2"/>
      </rPr>
      <t>거래처</t>
    </r>
    <r>
      <rPr>
        <sz val="11"/>
        <rFont val="Arial"/>
        <family val="2"/>
      </rPr>
      <t>T</t>
    </r>
  </si>
  <si>
    <r>
      <rPr>
        <i/>
        <sz val="9"/>
        <color rgb="FF808080"/>
        <rFont val="Noto Sans CJK SC"/>
        <family val="2"/>
      </rPr>
      <t xml:space="preserve">※ 상단 데이터는 시연용 샘플 데이터입니다 </t>
    </r>
    <r>
      <rPr>
        <i/>
        <sz val="9"/>
        <color rgb="FF808080"/>
        <rFont val="Arial"/>
        <family val="2"/>
      </rPr>
      <t>(</t>
    </r>
    <r>
      <rPr>
        <i/>
        <sz val="9"/>
        <color rgb="FF808080"/>
        <rFont val="Noto Sans CJK SC"/>
        <family val="2"/>
      </rPr>
      <t>실제 거래처</t>
    </r>
    <r>
      <rPr>
        <i/>
        <sz val="9"/>
        <color rgb="FF808080"/>
        <rFont val="Arial"/>
        <family val="2"/>
      </rPr>
      <t>/</t>
    </r>
    <r>
      <rPr>
        <i/>
        <sz val="9"/>
        <color rgb="FF808080"/>
        <rFont val="Noto Sans CJK SC"/>
        <family val="2"/>
      </rPr>
      <t>금액 아님</t>
    </r>
    <r>
      <rPr>
        <i/>
        <sz val="9"/>
        <color rgb="FF808080"/>
        <rFont val="Arial"/>
        <family val="2"/>
      </rPr>
      <t>).</t>
    </r>
  </si>
  <si>
    <t>최소경과일</t>
  </si>
  <si>
    <t>구간명</t>
  </si>
  <si>
    <r>
      <rPr>
        <b/>
        <sz val="11"/>
        <color rgb="FFFFFFFF"/>
        <rFont val="Noto Sans CJK SC"/>
        <family val="2"/>
      </rPr>
      <t>최대경과일</t>
    </r>
    <r>
      <rPr>
        <b/>
        <sz val="11"/>
        <color rgb="FFFFFFFF"/>
        <rFont val="Arial"/>
        <family val="2"/>
      </rPr>
      <t>(</t>
    </r>
    <r>
      <rPr>
        <b/>
        <sz val="11"/>
        <color rgb="FFFFFFFF"/>
        <rFont val="Noto Sans CJK SC"/>
        <family val="2"/>
      </rPr>
      <t>참고</t>
    </r>
    <r>
      <rPr>
        <b/>
        <sz val="11"/>
        <color rgb="FFFFFFFF"/>
        <rFont val="Arial"/>
        <family val="2"/>
      </rPr>
      <t>)</t>
    </r>
  </si>
  <si>
    <t>대손율</t>
  </si>
  <si>
    <r>
      <rPr>
        <sz val="11"/>
        <color rgb="FF0000FF"/>
        <rFont val="Arial"/>
        <family val="2"/>
      </rPr>
      <t>0~90</t>
    </r>
    <r>
      <rPr>
        <sz val="11"/>
        <color rgb="FF0000FF"/>
        <rFont val="Noto Sans CJK SC"/>
        <family val="2"/>
      </rPr>
      <t>일</t>
    </r>
  </si>
  <si>
    <r>
      <rPr>
        <sz val="11"/>
        <color rgb="FF0000FF"/>
        <rFont val="Arial"/>
        <family val="2"/>
      </rPr>
      <t>91~180</t>
    </r>
    <r>
      <rPr>
        <sz val="11"/>
        <color rgb="FF0000FF"/>
        <rFont val="Noto Sans CJK SC"/>
        <family val="2"/>
      </rPr>
      <t>일</t>
    </r>
  </si>
  <si>
    <r>
      <rPr>
        <sz val="11"/>
        <color rgb="FF0000FF"/>
        <rFont val="Arial"/>
        <family val="2"/>
      </rPr>
      <t>181~365</t>
    </r>
    <r>
      <rPr>
        <sz val="11"/>
        <color rgb="FF0000FF"/>
        <rFont val="Noto Sans CJK SC"/>
        <family val="2"/>
      </rPr>
      <t>일</t>
    </r>
  </si>
  <si>
    <r>
      <rPr>
        <sz val="11"/>
        <color rgb="FF0000FF"/>
        <rFont val="Arial"/>
        <family val="2"/>
      </rPr>
      <t>366</t>
    </r>
    <r>
      <rPr>
        <sz val="11"/>
        <color rgb="FF0000FF"/>
        <rFont val="Noto Sans CJK SC"/>
        <family val="2"/>
      </rPr>
      <t>일 초과</t>
    </r>
  </si>
  <si>
    <t>-</t>
  </si>
  <si>
    <r>
      <rPr>
        <i/>
        <sz val="9"/>
        <color rgb="FF808080"/>
        <rFont val="Arial"/>
        <family val="2"/>
      </rPr>
      <t xml:space="preserve">Source: </t>
    </r>
    <r>
      <rPr>
        <i/>
        <sz val="9"/>
        <color rgb="FF808080"/>
        <rFont val="Noto Sans CJK SC"/>
        <family val="2"/>
      </rPr>
      <t>시연용 예시 정책치입니다</t>
    </r>
    <r>
      <rPr>
        <i/>
        <sz val="9"/>
        <color rgb="FF808080"/>
        <rFont val="Arial"/>
        <family val="2"/>
      </rPr>
      <t xml:space="preserve">. </t>
    </r>
    <r>
      <rPr>
        <i/>
        <sz val="9"/>
        <color rgb="FF808080"/>
        <rFont val="Noto Sans CJK SC"/>
        <family val="2"/>
      </rPr>
      <t>실무에서는 과거 대손 실적률</t>
    </r>
    <r>
      <rPr>
        <i/>
        <sz val="9"/>
        <color rgb="FF808080"/>
        <rFont val="Arial"/>
        <family val="2"/>
      </rPr>
      <t xml:space="preserve">, </t>
    </r>
    <r>
      <rPr>
        <i/>
        <sz val="9"/>
        <color rgb="FF808080"/>
        <rFont val="Noto Sans CJK SC"/>
        <family val="2"/>
      </rPr>
      <t>산업 통계</t>
    </r>
    <r>
      <rPr>
        <i/>
        <sz val="9"/>
        <color rgb="FF808080"/>
        <rFont val="Arial"/>
        <family val="2"/>
      </rPr>
      <t xml:space="preserve">, </t>
    </r>
    <r>
      <rPr>
        <i/>
        <sz val="9"/>
        <color rgb="FF808080"/>
        <rFont val="Noto Sans CJK SC"/>
        <family val="2"/>
      </rPr>
      <t>거래처 신용도 등 실제 근거자료를 바탕으로 산정해야 합니다</t>
    </r>
    <r>
      <rPr>
        <i/>
        <sz val="9"/>
        <color rgb="FF808080"/>
        <rFont val="Arial"/>
        <family val="2"/>
      </rPr>
      <t>.</t>
    </r>
  </si>
  <si>
    <t>경과일수</t>
  </si>
  <si>
    <t>대손충당금</t>
  </si>
  <si>
    <t>합계</t>
  </si>
  <si>
    <t>구간별 대손충당금 소계</t>
  </si>
  <si>
    <t>채권 건수</t>
  </si>
  <si>
    <t>충당금 합계</t>
  </si>
  <si>
    <r>
      <rPr>
        <sz val="11"/>
        <rFont val="Arial"/>
        <family val="2"/>
      </rPr>
      <t>0~90</t>
    </r>
    <r>
      <rPr>
        <sz val="11"/>
        <rFont val="Noto Sans CJK SC"/>
        <family val="2"/>
      </rPr>
      <t>일</t>
    </r>
  </si>
  <si>
    <r>
      <rPr>
        <sz val="11"/>
        <rFont val="Arial"/>
        <family val="2"/>
      </rPr>
      <t>91~180</t>
    </r>
    <r>
      <rPr>
        <sz val="11"/>
        <rFont val="Noto Sans CJK SC"/>
        <family val="2"/>
      </rPr>
      <t>일</t>
    </r>
  </si>
  <si>
    <r>
      <rPr>
        <sz val="11"/>
        <rFont val="Arial"/>
        <family val="2"/>
      </rPr>
      <t>181~365</t>
    </r>
    <r>
      <rPr>
        <sz val="11"/>
        <rFont val="Noto Sans CJK SC"/>
        <family val="2"/>
      </rPr>
      <t>일</t>
    </r>
  </si>
  <si>
    <r>
      <rPr>
        <sz val="11"/>
        <rFont val="Arial"/>
        <family val="2"/>
      </rPr>
      <t>366</t>
    </r>
    <r>
      <rPr>
        <sz val="11"/>
        <rFont val="Noto Sans CJK SC"/>
        <family val="2"/>
      </rPr>
      <t>일 초과</t>
    </r>
  </si>
  <si>
    <t>嫄곕泥紐</t>
  </si>
  <si>
    <t>寃쎄낵쇱</t>
  </si>
  <si>
    <t> </t>
  </si>
  <si>
    <t> 異⑸밴</t>
  </si>
  <si>
    <r>
      <t>梨＿</t>
    </r>
    <r>
      <rPr>
        <b/>
        <sz val="11"/>
        <color rgb="FFFFFFFF"/>
        <rFont val="Calibri"/>
        <family val="2"/>
      </rPr>
      <t></t>
    </r>
    <r>
      <rPr>
        <b/>
        <sz val="11"/>
        <color rgb="FFFFFFFF"/>
        <rFont val="Calibri"/>
        <family val="2"/>
        <charset val="1"/>
      </rPr>
      <t>沅諛</t>
    </r>
    <r>
      <rPr>
        <b/>
        <sz val="11"/>
        <color rgb="FFFFFFFF"/>
        <rFont val="Calibri"/>
        <family val="2"/>
      </rPr>
      <t>©</t>
    </r>
  </si>
  <si>
    <r>
      <t>梨＿</t>
    </r>
    <r>
      <rPr>
        <b/>
        <sz val="11"/>
        <color rgb="FFFFFFFF"/>
        <rFont val="Calibri"/>
        <family val="2"/>
      </rPr>
      <t></t>
    </r>
    <r>
      <rPr>
        <b/>
        <sz val="11"/>
        <color rgb="FFFFFFFF"/>
        <rFont val="Calibri"/>
        <family val="2"/>
        <charset val="1"/>
      </rPr>
      <t>沅湲</t>
    </r>
  </si>
  <si>
    <t>거래처A</t>
  </si>
  <si>
    <t>거래처B</t>
  </si>
  <si>
    <t>거래처C</t>
  </si>
  <si>
    <t>거래처D</t>
  </si>
  <si>
    <t>거래처E</t>
  </si>
  <si>
    <t>거래처F</t>
  </si>
  <si>
    <t>거래처G</t>
  </si>
  <si>
    <t>거래처H</t>
  </si>
  <si>
    <t>거래처I</t>
  </si>
  <si>
    <t>거래처J</t>
  </si>
  <si>
    <t>거래처K</t>
  </si>
  <si>
    <t>거래처L</t>
  </si>
  <si>
    <t>거래처M</t>
  </si>
  <si>
    <t>거래처N</t>
  </si>
  <si>
    <t>거래처O</t>
  </si>
  <si>
    <t>거래처P</t>
  </si>
  <si>
    <t>거래처Q</t>
  </si>
  <si>
    <t>거래처R</t>
  </si>
  <si>
    <t>거래처S</t>
  </si>
  <si>
    <t>거래처T</t>
  </si>
  <si>
    <t>※ 상단 데이터는 시연용 샘플 데이터입니다 (실제 거래처/금액 아님).</t>
  </si>
  <si>
    <r>
      <t>⑷＿</t>
    </r>
    <r>
      <rPr>
        <b/>
        <sz val="11"/>
        <color theme="1"/>
        <rFont val="Calibri"/>
        <family val="2"/>
      </rPr>
      <t>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</si>
</sst>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18">
    <font>
      <sz val="11"/>
      <color theme="1"/>
      <name val="Calibri"/>
      <family val="2"/>
      <charset val="1"/>
    </font>
    <font>
      <b/>
      <sz val="11"/>
      <color rgb="FFFFFFFF"/>
      <name val="Noto Sans CJK SC"/>
      <family val="2"/>
    </font>
    <font>
      <sz val="11"/>
      <name val="Noto Sans CJK SC"/>
      <family val="2"/>
    </font>
    <font>
      <sz val="11"/>
      <name val="Arial"/>
      <family val="2"/>
    </font>
    <font>
      <sz val="11"/>
      <color rgb="FF0000FF"/>
      <name val="Arial"/>
      <family val="2"/>
    </font>
    <font>
      <i/>
      <sz val="9"/>
      <color rgb="FF808080"/>
      <name val="Noto Sans CJK SC"/>
      <family val="2"/>
    </font>
    <font>
      <i/>
      <sz val="9"/>
      <color rgb="FF808080"/>
      <name val="Arial"/>
      <family val="2"/>
    </font>
    <font>
      <b/>
      <sz val="11"/>
      <color rgb="FFFFFFFF"/>
      <name val="Arial"/>
      <family val="2"/>
    </font>
    <font>
      <sz val="11"/>
      <color rgb="FF0000FF"/>
      <name val="Noto Sans CJK SC"/>
      <family val="2"/>
    </font>
    <font>
      <b/>
      <sz val="11"/>
      <name val="Noto Sans CJK SC"/>
      <family val="2"/>
    </font>
    <font>
      <b/>
      <sz val="11"/>
      <name val="Arial"/>
      <family val="2"/>
    </font>
    <font>
      <sz val="10"/>
      <name val="Noto Sans CJK SC"/>
      <family val="2"/>
    </font>
    <font>
      <sz val="10"/>
      <name val="Arial"/>
      <family val="2"/>
    </font>
    <font>
      <sz val="8"/>
      <name val="나눔명조"/>
      <family val="3"/>
      <charset val="129"/>
    </font>
    <font>
      <b/>
      <sz val="11"/>
      <color theme="1"/>
      <name val="Calibri"/>
      <family val="2"/>
    </font>
    <font>
      <b/>
      <sz val="11"/>
      <color theme="1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70AD47"/>
        <bgColor rgb="FF339966"/>
      </patternFill>
    </fill>
    <fill>
      <patternFill patternType="solid">
        <fgColor rgb="FFA9D08E"/>
        <bgColor rgb="FF99CCFF"/>
      </patternFill>
    </fill>
    <fill>
      <patternFill patternType="solid">
        <fgColor rgb="FF70AD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176" fontId="3" fillId="0" borderId="0" xfId="0" applyNumberFormat="1" applyFont="1"/>
    <xf numFmtId="3" fontId="4" fillId="0" borderId="0" xfId="0" applyNumberFormat="1" applyFont="1"/>
    <xf numFmtId="0" fontId="5" fillId="0" borderId="0" xfId="0" applyFont="1"/>
    <xf numFmtId="0" fontId="4" fillId="0" borderId="0" xfId="0" applyFont="1"/>
    <xf numFmtId="177" fontId="4" fillId="0" borderId="0" xfId="0" applyNumberFormat="1" applyFont="1"/>
    <xf numFmtId="0" fontId="6" fillId="0" borderId="0" xfId="0" applyFont="1"/>
    <xf numFmtId="0" fontId="1" fillId="3" borderId="0" xfId="0" applyFont="1" applyFill="1" applyAlignment="1">
      <alignment horizontal="center"/>
    </xf>
    <xf numFmtId="3" fontId="3" fillId="0" borderId="0" xfId="0" applyNumberFormat="1" applyFont="1"/>
    <xf numFmtId="1" fontId="3" fillId="0" borderId="0" xfId="0" applyNumberFormat="1" applyFont="1"/>
    <xf numFmtId="177" fontId="3" fillId="0" borderId="0" xfId="0" applyNumberFormat="1" applyFont="1"/>
    <xf numFmtId="0" fontId="9" fillId="0" borderId="0" xfId="0" applyFont="1"/>
    <xf numFmtId="3" fontId="10" fillId="0" borderId="0" xfId="0" applyNumberFormat="1" applyFont="1"/>
    <xf numFmtId="0" fontId="1" fillId="4" borderId="0" xfId="0" applyFont="1" applyFill="1"/>
    <xf numFmtId="0" fontId="3" fillId="0" borderId="0" xfId="0" applyFont="1"/>
    <xf numFmtId="0" fontId="15" fillId="0" borderId="0" xfId="0" applyFont="1"/>
    <xf numFmtId="0" fontId="16" fillId="5" borderId="0" xfId="0" applyFont="1" applyFill="1"/>
    <xf numFmtId="176" fontId="0" fillId="0" borderId="0" xfId="0" applyNumberFormat="1"/>
    <xf numFmtId="3" fontId="0" fillId="0" borderId="0" xfId="0" applyNumberFormat="1"/>
    <xf numFmtId="177" fontId="0" fillId="0" borderId="0" xfId="0" applyNumberFormat="1"/>
    <xf numFmtId="3" fontId="14" fillId="0" borderId="0" xfId="0" applyNumberFormat="1" applyFont="1"/>
  </cellXfs>
  <cellStyles count="1">
    <cellStyle name="표준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08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zoomScaleNormal="100" workbookViewId="0">
      <selection activeCell="A7" sqref="A7"/>
    </sheetView>
  </sheetViews>
  <sheetFormatPr baseColWidth="10" defaultColWidth="8.6640625" defaultRowHeight="15"/>
  <cols>
    <col min="1" max="2" width="14" customWidth="1"/>
    <col min="3" max="3" width="16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s="2" t="s">
        <v>3</v>
      </c>
      <c r="B2" s="3">
        <v>45218</v>
      </c>
      <c r="C2" s="4">
        <v>74000000</v>
      </c>
    </row>
    <row r="3" spans="1:3">
      <c r="A3" s="2" t="s">
        <v>4</v>
      </c>
      <c r="B3" s="3">
        <v>46098</v>
      </c>
      <c r="C3" s="4">
        <v>28000000</v>
      </c>
    </row>
    <row r="4" spans="1:3">
      <c r="A4" s="2" t="s">
        <v>5</v>
      </c>
      <c r="B4" s="3">
        <v>45718</v>
      </c>
      <c r="C4" s="4">
        <v>72000000</v>
      </c>
    </row>
    <row r="5" spans="1:3">
      <c r="A5" s="2" t="s">
        <v>6</v>
      </c>
      <c r="B5" s="3">
        <v>46123</v>
      </c>
      <c r="C5" s="4">
        <v>56000000</v>
      </c>
    </row>
    <row r="6" spans="1:3">
      <c r="A6" s="2" t="s">
        <v>7</v>
      </c>
      <c r="B6" s="3">
        <v>45988</v>
      </c>
      <c r="C6" s="4">
        <v>31000000</v>
      </c>
    </row>
    <row r="7" spans="1:3">
      <c r="A7" s="2" t="s">
        <v>8</v>
      </c>
      <c r="B7" s="3">
        <v>45798</v>
      </c>
      <c r="C7" s="4">
        <v>60000000</v>
      </c>
    </row>
    <row r="8" spans="1:3">
      <c r="A8" s="2" t="s">
        <v>9</v>
      </c>
      <c r="B8" s="3">
        <v>45618</v>
      </c>
      <c r="C8" s="4">
        <v>78000000</v>
      </c>
    </row>
    <row r="9" spans="1:3">
      <c r="A9" s="2" t="s">
        <v>10</v>
      </c>
      <c r="B9" s="3">
        <v>45318</v>
      </c>
      <c r="C9" s="4">
        <v>38000000</v>
      </c>
    </row>
    <row r="10" spans="1:3">
      <c r="A10" s="2" t="s">
        <v>11</v>
      </c>
      <c r="B10" s="3">
        <v>46068</v>
      </c>
      <c r="C10" s="4">
        <v>3000000</v>
      </c>
    </row>
    <row r="11" spans="1:3">
      <c r="A11" s="2" t="s">
        <v>12</v>
      </c>
      <c r="B11" s="3">
        <v>45848</v>
      </c>
      <c r="C11" s="4">
        <v>23000000</v>
      </c>
    </row>
    <row r="12" spans="1:3">
      <c r="A12" s="2" t="s">
        <v>13</v>
      </c>
      <c r="B12" s="3">
        <v>45418</v>
      </c>
      <c r="C12" s="4">
        <v>57000000</v>
      </c>
    </row>
    <row r="13" spans="1:3">
      <c r="A13" s="2" t="s">
        <v>14</v>
      </c>
      <c r="B13" s="3">
        <v>45938</v>
      </c>
      <c r="C13" s="4">
        <v>46000000</v>
      </c>
    </row>
    <row r="14" spans="1:3">
      <c r="A14" s="2" t="s">
        <v>15</v>
      </c>
      <c r="B14" s="3">
        <v>46173</v>
      </c>
      <c r="C14" s="4">
        <v>38000000</v>
      </c>
    </row>
    <row r="15" spans="1:3">
      <c r="A15" s="2" t="s">
        <v>16</v>
      </c>
      <c r="B15" s="3">
        <v>45858</v>
      </c>
      <c r="C15" s="4">
        <v>22000000</v>
      </c>
    </row>
    <row r="16" spans="1:3">
      <c r="A16" s="2" t="s">
        <v>17</v>
      </c>
      <c r="B16" s="3">
        <v>46148</v>
      </c>
      <c r="C16" s="4">
        <v>30000000</v>
      </c>
    </row>
    <row r="17" spans="1:3">
      <c r="A17" s="2" t="s">
        <v>18</v>
      </c>
      <c r="B17" s="3">
        <v>45518</v>
      </c>
      <c r="C17" s="4">
        <v>46000000</v>
      </c>
    </row>
    <row r="18" spans="1:3">
      <c r="A18" s="2" t="s">
        <v>19</v>
      </c>
      <c r="B18" s="3">
        <v>46040</v>
      </c>
      <c r="C18" s="4">
        <v>16000000</v>
      </c>
    </row>
    <row r="19" spans="1:3">
      <c r="A19" s="2" t="s">
        <v>20</v>
      </c>
      <c r="B19" s="3">
        <v>46028</v>
      </c>
      <c r="C19" s="4">
        <v>14000000</v>
      </c>
    </row>
    <row r="20" spans="1:3">
      <c r="A20" s="2" t="s">
        <v>21</v>
      </c>
      <c r="B20" s="3">
        <v>46203</v>
      </c>
      <c r="C20" s="4">
        <v>51000000</v>
      </c>
    </row>
    <row r="21" spans="1:3">
      <c r="A21" s="2" t="s">
        <v>22</v>
      </c>
      <c r="B21" s="3">
        <v>46130</v>
      </c>
      <c r="C21" s="4">
        <v>15000000</v>
      </c>
    </row>
    <row r="23" spans="1:3">
      <c r="A23" s="5" t="s">
        <v>23</v>
      </c>
    </row>
  </sheetData>
  <phoneticPr fontId="13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zoomScaleNormal="100" workbookViewId="0">
      <selection activeCell="D5" sqref="D5"/>
    </sheetView>
  </sheetViews>
  <sheetFormatPr baseColWidth="10" defaultColWidth="8.6640625" defaultRowHeight="15"/>
  <cols>
    <col min="1" max="1" width="12" customWidth="1"/>
    <col min="2" max="2" width="14" customWidth="1"/>
    <col min="3" max="3" width="16" customWidth="1"/>
    <col min="4" max="4" width="10" customWidth="1"/>
  </cols>
  <sheetData>
    <row r="1" spans="1:4">
      <c r="A1" s="1" t="s">
        <v>24</v>
      </c>
      <c r="B1" s="1" t="s">
        <v>25</v>
      </c>
      <c r="C1" s="1" t="s">
        <v>26</v>
      </c>
      <c r="D1" s="1" t="s">
        <v>27</v>
      </c>
    </row>
    <row r="2" spans="1:4">
      <c r="A2" s="6">
        <v>0</v>
      </c>
      <c r="B2" s="6" t="s">
        <v>28</v>
      </c>
      <c r="C2" s="6">
        <v>90</v>
      </c>
      <c r="D2" s="7">
        <v>0.01</v>
      </c>
    </row>
    <row r="3" spans="1:4">
      <c r="A3" s="6">
        <v>91</v>
      </c>
      <c r="B3" s="6" t="s">
        <v>29</v>
      </c>
      <c r="C3" s="6">
        <v>180</v>
      </c>
      <c r="D3" s="7">
        <v>0.05</v>
      </c>
    </row>
    <row r="4" spans="1:4">
      <c r="A4" s="6">
        <v>181</v>
      </c>
      <c r="B4" s="6" t="s">
        <v>30</v>
      </c>
      <c r="C4" s="6">
        <v>365</v>
      </c>
      <c r="D4" s="7">
        <v>0.2</v>
      </c>
    </row>
    <row r="5" spans="1:4">
      <c r="A5" s="6">
        <v>366</v>
      </c>
      <c r="B5" s="6" t="s">
        <v>31</v>
      </c>
      <c r="C5" s="6" t="s">
        <v>32</v>
      </c>
      <c r="D5" s="7">
        <v>0.5</v>
      </c>
    </row>
    <row r="7" spans="1:4">
      <c r="A7" s="8" t="s">
        <v>33</v>
      </c>
    </row>
  </sheetData>
  <phoneticPr fontId="13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09FB3-99EB-1C4B-9758-A52715F11E34}">
  <sheetPr codeName="Sheet5"/>
  <dimension ref="A1:F24"/>
  <sheetViews>
    <sheetView workbookViewId="0"/>
  </sheetViews>
  <sheetFormatPr baseColWidth="10" defaultRowHeight="15"/>
  <cols>
    <col min="1" max="1" width="61.6640625" bestFit="1" customWidth="1"/>
    <col min="2" max="2" width="11.83203125" bestFit="1" customWidth="1"/>
    <col min="3" max="3" width="12" bestFit="1" customWidth="1"/>
    <col min="4" max="4" width="9.33203125" bestFit="1" customWidth="1"/>
    <col min="5" max="5" width="6.83203125" bestFit="1" customWidth="1"/>
    <col min="6" max="6" width="11" bestFit="1" customWidth="1"/>
  </cols>
  <sheetData>
    <row r="1" spans="1:6">
      <c r="A1" s="18" t="s">
        <v>44</v>
      </c>
      <c r="B1" s="18" t="s">
        <v>48</v>
      </c>
      <c r="C1" s="18" t="s">
        <v>49</v>
      </c>
      <c r="D1" s="18" t="s">
        <v>45</v>
      </c>
      <c r="E1" s="18" t="s">
        <v>46</v>
      </c>
      <c r="F1" s="18" t="s">
        <v>47</v>
      </c>
    </row>
    <row r="2" spans="1:6">
      <c r="A2" t="s">
        <v>50</v>
      </c>
      <c r="B2" s="19">
        <v>45218</v>
      </c>
      <c r="C2" s="20">
        <v>74000000</v>
      </c>
      <c r="D2">
        <v>1000</v>
      </c>
      <c r="E2" s="21">
        <v>0</v>
      </c>
      <c r="F2" s="20">
        <v>0</v>
      </c>
    </row>
    <row r="3" spans="1:6">
      <c r="A3" t="s">
        <v>51</v>
      </c>
      <c r="B3" s="19">
        <v>46098</v>
      </c>
      <c r="C3" s="20">
        <v>28000000</v>
      </c>
      <c r="D3">
        <v>120</v>
      </c>
      <c r="E3" s="21">
        <v>0.05</v>
      </c>
      <c r="F3" s="20">
        <v>1400000</v>
      </c>
    </row>
    <row r="4" spans="1:6">
      <c r="A4" t="s">
        <v>52</v>
      </c>
      <c r="B4" s="19">
        <v>45718</v>
      </c>
      <c r="C4" s="20">
        <v>72000000</v>
      </c>
      <c r="D4">
        <v>500</v>
      </c>
      <c r="E4" s="21">
        <v>0</v>
      </c>
      <c r="F4" s="20">
        <v>0</v>
      </c>
    </row>
    <row r="5" spans="1:6">
      <c r="A5" t="s">
        <v>53</v>
      </c>
      <c r="B5" s="19">
        <v>46123</v>
      </c>
      <c r="C5" s="20">
        <v>56000000</v>
      </c>
      <c r="D5">
        <v>95</v>
      </c>
      <c r="E5" s="21">
        <v>0.05</v>
      </c>
      <c r="F5" s="20">
        <v>2800000</v>
      </c>
    </row>
    <row r="6" spans="1:6">
      <c r="A6" t="s">
        <v>54</v>
      </c>
      <c r="B6" s="19">
        <v>45988</v>
      </c>
      <c r="C6" s="20">
        <v>31000000</v>
      </c>
      <c r="D6">
        <v>230</v>
      </c>
      <c r="E6" s="21">
        <v>0.2</v>
      </c>
      <c r="F6" s="20">
        <v>6200000</v>
      </c>
    </row>
    <row r="7" spans="1:6">
      <c r="A7" t="s">
        <v>55</v>
      </c>
      <c r="B7" s="19">
        <v>45798</v>
      </c>
      <c r="C7" s="20">
        <v>60000000</v>
      </c>
      <c r="D7">
        <v>420</v>
      </c>
      <c r="E7" s="21">
        <v>0</v>
      </c>
      <c r="F7" s="20">
        <v>0</v>
      </c>
    </row>
    <row r="8" spans="1:6">
      <c r="A8" t="s">
        <v>56</v>
      </c>
      <c r="B8" s="19">
        <v>45618</v>
      </c>
      <c r="C8" s="20">
        <v>78000000</v>
      </c>
      <c r="D8">
        <v>600</v>
      </c>
      <c r="E8" s="21">
        <v>0</v>
      </c>
      <c r="F8" s="20">
        <v>0</v>
      </c>
    </row>
    <row r="9" spans="1:6">
      <c r="A9" t="s">
        <v>57</v>
      </c>
      <c r="B9" s="19">
        <v>45318</v>
      </c>
      <c r="C9" s="20">
        <v>38000000</v>
      </c>
      <c r="D9">
        <v>900</v>
      </c>
      <c r="E9" s="21">
        <v>0</v>
      </c>
      <c r="F9" s="20">
        <v>0</v>
      </c>
    </row>
    <row r="10" spans="1:6">
      <c r="A10" t="s">
        <v>58</v>
      </c>
      <c r="B10" s="19">
        <v>46068</v>
      </c>
      <c r="C10" s="20">
        <v>3000000</v>
      </c>
      <c r="D10">
        <v>150</v>
      </c>
      <c r="E10" s="21">
        <v>0.05</v>
      </c>
      <c r="F10" s="20">
        <v>150000</v>
      </c>
    </row>
    <row r="11" spans="1:6">
      <c r="A11" t="s">
        <v>59</v>
      </c>
      <c r="B11" s="19">
        <v>45848</v>
      </c>
      <c r="C11" s="20">
        <v>23000000</v>
      </c>
      <c r="D11">
        <v>370</v>
      </c>
      <c r="E11" s="21">
        <v>0</v>
      </c>
      <c r="F11" s="20">
        <v>0</v>
      </c>
    </row>
    <row r="12" spans="1:6">
      <c r="A12" t="s">
        <v>60</v>
      </c>
      <c r="B12" s="19">
        <v>45418</v>
      </c>
      <c r="C12" s="20">
        <v>57000000</v>
      </c>
      <c r="D12">
        <v>800</v>
      </c>
      <c r="E12" s="21">
        <v>0</v>
      </c>
      <c r="F12" s="20">
        <v>0</v>
      </c>
    </row>
    <row r="13" spans="1:6">
      <c r="A13" t="s">
        <v>61</v>
      </c>
      <c r="B13" s="19">
        <v>45938</v>
      </c>
      <c r="C13" s="20">
        <v>46000000</v>
      </c>
      <c r="D13">
        <v>280</v>
      </c>
      <c r="E13" s="21">
        <v>0.2</v>
      </c>
      <c r="F13" s="20">
        <v>9200000</v>
      </c>
    </row>
    <row r="14" spans="1:6">
      <c r="A14" t="s">
        <v>62</v>
      </c>
      <c r="B14" s="19">
        <v>46173</v>
      </c>
      <c r="C14" s="20">
        <v>38000000</v>
      </c>
      <c r="D14">
        <v>45</v>
      </c>
      <c r="E14" s="21">
        <v>0.01</v>
      </c>
      <c r="F14" s="20">
        <v>380000</v>
      </c>
    </row>
    <row r="15" spans="1:6">
      <c r="A15" t="s">
        <v>63</v>
      </c>
      <c r="B15" s="19">
        <v>45858</v>
      </c>
      <c r="C15" s="20">
        <v>22000000</v>
      </c>
      <c r="D15">
        <v>360</v>
      </c>
      <c r="E15" s="21">
        <v>0.2</v>
      </c>
      <c r="F15" s="20">
        <v>4400000</v>
      </c>
    </row>
    <row r="16" spans="1:6">
      <c r="A16" t="s">
        <v>64</v>
      </c>
      <c r="B16" s="19">
        <v>46148</v>
      </c>
      <c r="C16" s="20">
        <v>30000000</v>
      </c>
      <c r="D16">
        <v>70</v>
      </c>
      <c r="E16" s="21">
        <v>0.01</v>
      </c>
      <c r="F16" s="20">
        <v>300000</v>
      </c>
    </row>
    <row r="17" spans="1:6">
      <c r="A17" t="s">
        <v>65</v>
      </c>
      <c r="B17" s="19">
        <v>45518</v>
      </c>
      <c r="C17" s="20">
        <v>46000000</v>
      </c>
      <c r="D17">
        <v>700</v>
      </c>
      <c r="E17" s="21">
        <v>0</v>
      </c>
      <c r="F17" s="20">
        <v>0</v>
      </c>
    </row>
    <row r="18" spans="1:6">
      <c r="A18" t="s">
        <v>66</v>
      </c>
      <c r="B18" s="19">
        <v>46040</v>
      </c>
      <c r="C18" s="20">
        <v>16000000</v>
      </c>
      <c r="D18">
        <v>178</v>
      </c>
      <c r="E18" s="21">
        <v>0.05</v>
      </c>
      <c r="F18" s="20">
        <v>800000</v>
      </c>
    </row>
    <row r="19" spans="1:6">
      <c r="A19" t="s">
        <v>67</v>
      </c>
      <c r="B19" s="19">
        <v>46028</v>
      </c>
      <c r="C19" s="20">
        <v>14000000</v>
      </c>
      <c r="D19">
        <v>190</v>
      </c>
      <c r="E19" s="21">
        <v>0.2</v>
      </c>
      <c r="F19" s="20">
        <v>2800000</v>
      </c>
    </row>
    <row r="20" spans="1:6">
      <c r="A20" t="s">
        <v>68</v>
      </c>
      <c r="B20" s="19">
        <v>46203</v>
      </c>
      <c r="C20" s="20">
        <v>51000000</v>
      </c>
      <c r="D20">
        <v>15</v>
      </c>
      <c r="E20" s="21">
        <v>0.01</v>
      </c>
      <c r="F20" s="20">
        <v>510000</v>
      </c>
    </row>
    <row r="21" spans="1:6">
      <c r="A21" t="s">
        <v>69</v>
      </c>
      <c r="B21" s="19">
        <v>46130</v>
      </c>
      <c r="C21" s="20">
        <v>15000000</v>
      </c>
      <c r="D21">
        <v>88</v>
      </c>
      <c r="E21" s="21">
        <v>0.01</v>
      </c>
      <c r="F21" s="20">
        <v>150000</v>
      </c>
    </row>
    <row r="22" spans="1:6">
      <c r="B22" s="19">
        <v>0</v>
      </c>
      <c r="C22" s="20">
        <v>0</v>
      </c>
      <c r="D22">
        <v>46218</v>
      </c>
      <c r="E22" s="21">
        <v>0</v>
      </c>
      <c r="F22" s="20">
        <v>0</v>
      </c>
    </row>
    <row r="23" spans="1:6">
      <c r="A23" t="s">
        <v>70</v>
      </c>
      <c r="B23" s="19">
        <v>0</v>
      </c>
      <c r="C23" s="20">
        <v>0</v>
      </c>
      <c r="D23">
        <v>46218</v>
      </c>
      <c r="E23" s="21">
        <v>0</v>
      </c>
      <c r="F23" s="20">
        <v>0</v>
      </c>
    </row>
    <row r="24" spans="1:6">
      <c r="A24" s="17" t="s">
        <v>71</v>
      </c>
      <c r="C24" s="22">
        <v>798000000</v>
      </c>
      <c r="F24" s="22">
        <v>29090000</v>
      </c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9"/>
  <sheetViews>
    <sheetView tabSelected="1" zoomScaleNormal="100" workbookViewId="0">
      <selection activeCell="F19" sqref="F19"/>
    </sheetView>
  </sheetViews>
  <sheetFormatPr baseColWidth="10" defaultColWidth="8.6640625" defaultRowHeight="15"/>
  <cols>
    <col min="1" max="1" width="20" customWidth="1"/>
    <col min="2" max="3" width="14" customWidth="1"/>
    <col min="4" max="5" width="10" customWidth="1"/>
    <col min="6" max="6" width="14" customWidth="1"/>
  </cols>
  <sheetData>
    <row r="1" spans="1:6">
      <c r="A1" s="9" t="s">
        <v>0</v>
      </c>
      <c r="B1" s="9" t="s">
        <v>1</v>
      </c>
      <c r="C1" s="9" t="s">
        <v>2</v>
      </c>
      <c r="D1" s="9" t="s">
        <v>34</v>
      </c>
      <c r="E1" s="9" t="s">
        <v>27</v>
      </c>
      <c r="F1" s="9" t="s">
        <v>35</v>
      </c>
    </row>
    <row r="2" spans="1:6">
      <c r="A2" s="2" t="str">
        <f>AR_Data!A2</f>
        <v>거래처A</v>
      </c>
      <c r="B2" s="3">
        <f>AR_Data!B2</f>
        <v>45218</v>
      </c>
      <c r="C2" s="10">
        <f>AR_Data!C2</f>
        <v>74000000</v>
      </c>
      <c r="D2" s="11">
        <f t="shared" ref="D2:D21" ca="1" si="0">TODAY()-B2</f>
        <v>1000</v>
      </c>
      <c r="E2" s="12">
        <f ca="1">VLOOKUP(D2,Aging_Policy!$A$2:$D$5,4,TRUE())</f>
        <v>0.5</v>
      </c>
      <c r="F2" s="10">
        <f t="shared" ref="F2:F21" ca="1" si="1">C2*E2</f>
        <v>37000000</v>
      </c>
    </row>
    <row r="3" spans="1:6">
      <c r="A3" s="2" t="str">
        <f>AR_Data!A3</f>
        <v>거래처B</v>
      </c>
      <c r="B3" s="3">
        <f>AR_Data!B3</f>
        <v>46098</v>
      </c>
      <c r="C3" s="10">
        <f>AR_Data!C3</f>
        <v>28000000</v>
      </c>
      <c r="D3" s="11">
        <f t="shared" ca="1" si="0"/>
        <v>120</v>
      </c>
      <c r="E3" s="12">
        <f ca="1">VLOOKUP(D3,Aging_Policy!$A$2:$D$5,4,TRUE())</f>
        <v>0.05</v>
      </c>
      <c r="F3" s="10">
        <f t="shared" ca="1" si="1"/>
        <v>1400000</v>
      </c>
    </row>
    <row r="4" spans="1:6">
      <c r="A4" s="2" t="str">
        <f>AR_Data!A4</f>
        <v>거래처C</v>
      </c>
      <c r="B4" s="3">
        <f>AR_Data!B4</f>
        <v>45718</v>
      </c>
      <c r="C4" s="10">
        <f>AR_Data!C4</f>
        <v>72000000</v>
      </c>
      <c r="D4" s="11">
        <f t="shared" ca="1" si="0"/>
        <v>500</v>
      </c>
      <c r="E4" s="12">
        <f ca="1">VLOOKUP(D4,Aging_Policy!$A$2:$D$5,4,TRUE())</f>
        <v>0.5</v>
      </c>
      <c r="F4" s="10">
        <f t="shared" ca="1" si="1"/>
        <v>36000000</v>
      </c>
    </row>
    <row r="5" spans="1:6">
      <c r="A5" s="2" t="str">
        <f>AR_Data!A5</f>
        <v>거래처D</v>
      </c>
      <c r="B5" s="3">
        <f>AR_Data!B5</f>
        <v>46123</v>
      </c>
      <c r="C5" s="10">
        <f>AR_Data!C5</f>
        <v>56000000</v>
      </c>
      <c r="D5" s="11">
        <f t="shared" ca="1" si="0"/>
        <v>95</v>
      </c>
      <c r="E5" s="12">
        <f ca="1">VLOOKUP(D5,Aging_Policy!$A$2:$D$5,4,TRUE())</f>
        <v>0.05</v>
      </c>
      <c r="F5" s="10">
        <f t="shared" ca="1" si="1"/>
        <v>2800000</v>
      </c>
    </row>
    <row r="6" spans="1:6">
      <c r="A6" s="2" t="str">
        <f>AR_Data!A6</f>
        <v>거래처E</v>
      </c>
      <c r="B6" s="3">
        <f>AR_Data!B6</f>
        <v>45988</v>
      </c>
      <c r="C6" s="10">
        <f>AR_Data!C6</f>
        <v>31000000</v>
      </c>
      <c r="D6" s="11">
        <f t="shared" ca="1" si="0"/>
        <v>230</v>
      </c>
      <c r="E6" s="12">
        <f ca="1">VLOOKUP(D6,Aging_Policy!$A$2:$D$5,4,TRUE())</f>
        <v>0.2</v>
      </c>
      <c r="F6" s="10">
        <f t="shared" ca="1" si="1"/>
        <v>6200000</v>
      </c>
    </row>
    <row r="7" spans="1:6">
      <c r="A7" s="2" t="str">
        <f>AR_Data!A7</f>
        <v>거래처F</v>
      </c>
      <c r="B7" s="3">
        <f>AR_Data!B7</f>
        <v>45798</v>
      </c>
      <c r="C7" s="10">
        <f>AR_Data!C7</f>
        <v>60000000</v>
      </c>
      <c r="D7" s="11">
        <f t="shared" ca="1" si="0"/>
        <v>420</v>
      </c>
      <c r="E7" s="12">
        <f ca="1">VLOOKUP(D7,Aging_Policy!$A$2:$D$5,4,TRUE())</f>
        <v>0.5</v>
      </c>
      <c r="F7" s="10">
        <f t="shared" ca="1" si="1"/>
        <v>30000000</v>
      </c>
    </row>
    <row r="8" spans="1:6">
      <c r="A8" s="2" t="str">
        <f>AR_Data!A8</f>
        <v>거래처G</v>
      </c>
      <c r="B8" s="3">
        <f>AR_Data!B8</f>
        <v>45618</v>
      </c>
      <c r="C8" s="10">
        <f>AR_Data!C8</f>
        <v>78000000</v>
      </c>
      <c r="D8" s="11">
        <f t="shared" ca="1" si="0"/>
        <v>600</v>
      </c>
      <c r="E8" s="12">
        <f ca="1">VLOOKUP(D8,Aging_Policy!$A$2:$D$5,4,TRUE())</f>
        <v>0.5</v>
      </c>
      <c r="F8" s="10">
        <f t="shared" ca="1" si="1"/>
        <v>39000000</v>
      </c>
    </row>
    <row r="9" spans="1:6">
      <c r="A9" s="2" t="str">
        <f>AR_Data!A9</f>
        <v>거래처H</v>
      </c>
      <c r="B9" s="3">
        <f>AR_Data!B9</f>
        <v>45318</v>
      </c>
      <c r="C9" s="10">
        <f>AR_Data!C9</f>
        <v>38000000</v>
      </c>
      <c r="D9" s="11">
        <f t="shared" ca="1" si="0"/>
        <v>900</v>
      </c>
      <c r="E9" s="12">
        <f ca="1">VLOOKUP(D9,Aging_Policy!$A$2:$D$5,4,TRUE())</f>
        <v>0.5</v>
      </c>
      <c r="F9" s="10">
        <f t="shared" ca="1" si="1"/>
        <v>19000000</v>
      </c>
    </row>
    <row r="10" spans="1:6">
      <c r="A10" s="2" t="str">
        <f>AR_Data!A10</f>
        <v>거래처I</v>
      </c>
      <c r="B10" s="3">
        <f>AR_Data!B10</f>
        <v>46068</v>
      </c>
      <c r="C10" s="10">
        <f>AR_Data!C10</f>
        <v>3000000</v>
      </c>
      <c r="D10" s="11">
        <f t="shared" ca="1" si="0"/>
        <v>150</v>
      </c>
      <c r="E10" s="12">
        <f ca="1">VLOOKUP(D10,Aging_Policy!$A$2:$D$5,4,TRUE())</f>
        <v>0.05</v>
      </c>
      <c r="F10" s="10">
        <f t="shared" ca="1" si="1"/>
        <v>150000</v>
      </c>
    </row>
    <row r="11" spans="1:6">
      <c r="A11" s="2" t="str">
        <f>AR_Data!A11</f>
        <v>거래처J</v>
      </c>
      <c r="B11" s="3">
        <f>AR_Data!B11</f>
        <v>45848</v>
      </c>
      <c r="C11" s="10">
        <f>AR_Data!C11</f>
        <v>23000000</v>
      </c>
      <c r="D11" s="11">
        <f t="shared" ca="1" si="0"/>
        <v>370</v>
      </c>
      <c r="E11" s="12">
        <f ca="1">VLOOKUP(D11,Aging_Policy!$A$2:$D$5,4,TRUE())</f>
        <v>0.5</v>
      </c>
      <c r="F11" s="10">
        <f t="shared" ca="1" si="1"/>
        <v>11500000</v>
      </c>
    </row>
    <row r="12" spans="1:6">
      <c r="A12" s="2" t="str">
        <f>AR_Data!A12</f>
        <v>거래처K</v>
      </c>
      <c r="B12" s="3">
        <f>AR_Data!B12</f>
        <v>45418</v>
      </c>
      <c r="C12" s="10">
        <f>AR_Data!C12</f>
        <v>57000000</v>
      </c>
      <c r="D12" s="11">
        <f t="shared" ca="1" si="0"/>
        <v>800</v>
      </c>
      <c r="E12" s="12">
        <f ca="1">VLOOKUP(D12,Aging_Policy!$A$2:$D$5,4,TRUE())</f>
        <v>0.5</v>
      </c>
      <c r="F12" s="10">
        <f t="shared" ca="1" si="1"/>
        <v>28500000</v>
      </c>
    </row>
    <row r="13" spans="1:6">
      <c r="A13" s="2" t="str">
        <f>AR_Data!A13</f>
        <v>거래처L</v>
      </c>
      <c r="B13" s="3">
        <f>AR_Data!B13</f>
        <v>45938</v>
      </c>
      <c r="C13" s="10">
        <f>AR_Data!C13</f>
        <v>46000000</v>
      </c>
      <c r="D13" s="11">
        <f t="shared" ca="1" si="0"/>
        <v>280</v>
      </c>
      <c r="E13" s="12">
        <f ca="1">VLOOKUP(D13,Aging_Policy!$A$2:$D$5,4,TRUE())</f>
        <v>0.2</v>
      </c>
      <c r="F13" s="10">
        <f t="shared" ca="1" si="1"/>
        <v>9200000</v>
      </c>
    </row>
    <row r="14" spans="1:6">
      <c r="A14" s="2" t="str">
        <f>AR_Data!A14</f>
        <v>거래처M</v>
      </c>
      <c r="B14" s="3">
        <f>AR_Data!B14</f>
        <v>46173</v>
      </c>
      <c r="C14" s="10">
        <f>AR_Data!C14</f>
        <v>38000000</v>
      </c>
      <c r="D14" s="11">
        <f t="shared" ca="1" si="0"/>
        <v>45</v>
      </c>
      <c r="E14" s="12">
        <f ca="1">VLOOKUP(D14,Aging_Policy!$A$2:$D$5,4,TRUE())</f>
        <v>0.01</v>
      </c>
      <c r="F14" s="10">
        <f t="shared" ca="1" si="1"/>
        <v>380000</v>
      </c>
    </row>
    <row r="15" spans="1:6">
      <c r="A15" s="2" t="str">
        <f>AR_Data!A15</f>
        <v>거래처N</v>
      </c>
      <c r="B15" s="3">
        <f>AR_Data!B15</f>
        <v>45858</v>
      </c>
      <c r="C15" s="10">
        <f>AR_Data!C15</f>
        <v>22000000</v>
      </c>
      <c r="D15" s="11">
        <f t="shared" ca="1" si="0"/>
        <v>360</v>
      </c>
      <c r="E15" s="12">
        <f ca="1">VLOOKUP(D15,Aging_Policy!$A$2:$D$5,4,TRUE())</f>
        <v>0.2</v>
      </c>
      <c r="F15" s="10">
        <f t="shared" ca="1" si="1"/>
        <v>4400000</v>
      </c>
    </row>
    <row r="16" spans="1:6">
      <c r="A16" s="2" t="str">
        <f>AR_Data!A16</f>
        <v>거래처O</v>
      </c>
      <c r="B16" s="3">
        <f>AR_Data!B16</f>
        <v>46148</v>
      </c>
      <c r="C16" s="10">
        <f>AR_Data!C16</f>
        <v>30000000</v>
      </c>
      <c r="D16" s="11">
        <f t="shared" ca="1" si="0"/>
        <v>70</v>
      </c>
      <c r="E16" s="12">
        <f ca="1">VLOOKUP(D16,Aging_Policy!$A$2:$D$5,4,TRUE())</f>
        <v>0.01</v>
      </c>
      <c r="F16" s="10">
        <f t="shared" ca="1" si="1"/>
        <v>300000</v>
      </c>
    </row>
    <row r="17" spans="1:6">
      <c r="A17" s="2" t="str">
        <f>AR_Data!A17</f>
        <v>거래처P</v>
      </c>
      <c r="B17" s="3">
        <f>AR_Data!B17</f>
        <v>45518</v>
      </c>
      <c r="C17" s="10">
        <f>AR_Data!C17</f>
        <v>46000000</v>
      </c>
      <c r="D17" s="11">
        <f t="shared" ca="1" si="0"/>
        <v>700</v>
      </c>
      <c r="E17" s="12">
        <f ca="1">VLOOKUP(D17,Aging_Policy!$A$2:$D$5,4,TRUE())</f>
        <v>0.5</v>
      </c>
      <c r="F17" s="10">
        <f t="shared" ca="1" si="1"/>
        <v>23000000</v>
      </c>
    </row>
    <row r="18" spans="1:6">
      <c r="A18" s="2" t="str">
        <f>AR_Data!A18</f>
        <v>거래처Q</v>
      </c>
      <c r="B18" s="3">
        <f>AR_Data!B18</f>
        <v>46040</v>
      </c>
      <c r="C18" s="10">
        <f>AR_Data!C18</f>
        <v>16000000</v>
      </c>
      <c r="D18" s="11">
        <f t="shared" ca="1" si="0"/>
        <v>178</v>
      </c>
      <c r="E18" s="12">
        <f ca="1">VLOOKUP(D18,Aging_Policy!$A$2:$D$5,4,TRUE())</f>
        <v>0.05</v>
      </c>
      <c r="F18" s="10">
        <f t="shared" ca="1" si="1"/>
        <v>800000</v>
      </c>
    </row>
    <row r="19" spans="1:6">
      <c r="A19" s="2" t="str">
        <f>AR_Data!A19</f>
        <v>거래처R</v>
      </c>
      <c r="B19" s="3">
        <f>AR_Data!B19</f>
        <v>46028</v>
      </c>
      <c r="C19" s="10">
        <f>AR_Data!C19</f>
        <v>14000000</v>
      </c>
      <c r="D19" s="11">
        <f t="shared" ca="1" si="0"/>
        <v>190</v>
      </c>
      <c r="E19" s="12">
        <f ca="1">VLOOKUP(D19,Aging_Policy!$A$2:$D$5,4,TRUE())</f>
        <v>0.2</v>
      </c>
      <c r="F19" s="10">
        <f t="shared" ca="1" si="1"/>
        <v>2800000</v>
      </c>
    </row>
    <row r="20" spans="1:6">
      <c r="A20" s="2" t="str">
        <f>AR_Data!A20</f>
        <v>거래처S</v>
      </c>
      <c r="B20" s="3">
        <f>AR_Data!B20</f>
        <v>46203</v>
      </c>
      <c r="C20" s="10">
        <f>AR_Data!C20</f>
        <v>51000000</v>
      </c>
      <c r="D20" s="11">
        <f t="shared" ca="1" si="0"/>
        <v>15</v>
      </c>
      <c r="E20" s="12">
        <f ca="1">VLOOKUP(D20,Aging_Policy!$A$2:$D$5,4,TRUE())</f>
        <v>0.01</v>
      </c>
      <c r="F20" s="10">
        <f t="shared" ca="1" si="1"/>
        <v>510000</v>
      </c>
    </row>
    <row r="21" spans="1:6">
      <c r="A21" s="2" t="str">
        <f>AR_Data!A21</f>
        <v>거래처T</v>
      </c>
      <c r="B21" s="3">
        <f>AR_Data!B21</f>
        <v>46130</v>
      </c>
      <c r="C21" s="10">
        <f>AR_Data!C21</f>
        <v>15000000</v>
      </c>
      <c r="D21" s="11">
        <f t="shared" ca="1" si="0"/>
        <v>88</v>
      </c>
      <c r="E21" s="12">
        <f ca="1">VLOOKUP(D21,Aging_Policy!$A$2:$D$5,4,TRUE())</f>
        <v>0.01</v>
      </c>
      <c r="F21" s="10">
        <f t="shared" ca="1" si="1"/>
        <v>150000</v>
      </c>
    </row>
    <row r="22" spans="1:6">
      <c r="A22" s="13" t="s">
        <v>36</v>
      </c>
      <c r="C22" s="14">
        <f>SUM(C2:C21)</f>
        <v>798000000</v>
      </c>
      <c r="F22" s="14">
        <f ca="1">SUM(F2:F21)</f>
        <v>253090000</v>
      </c>
    </row>
    <row r="24" spans="1:6">
      <c r="A24" s="13" t="s">
        <v>37</v>
      </c>
    </row>
    <row r="25" spans="1:6">
      <c r="A25" s="15" t="s">
        <v>25</v>
      </c>
      <c r="B25" s="15" t="s">
        <v>38</v>
      </c>
      <c r="C25" s="15" t="s">
        <v>39</v>
      </c>
    </row>
    <row r="26" spans="1:6">
      <c r="A26" s="16" t="s">
        <v>40</v>
      </c>
      <c r="B26" s="2">
        <f ca="1">COUNTIFS($E$2:$E21,Aging_Policy!D2)</f>
        <v>4</v>
      </c>
      <c r="C26" s="10">
        <f ca="1">SUMIFS($F$2:$F21,$E$2:$E21,Aging_Policy!D2)</f>
        <v>1340000</v>
      </c>
    </row>
    <row r="27" spans="1:6">
      <c r="A27" s="16" t="s">
        <v>41</v>
      </c>
      <c r="B27" s="2">
        <f ca="1">COUNTIFS($E$2:$E21,Aging_Policy!D3)</f>
        <v>4</v>
      </c>
      <c r="C27" s="10">
        <f ca="1">SUMIFS($F$2:$F21,$E$2:$E21,Aging_Policy!D3)</f>
        <v>5150000</v>
      </c>
    </row>
    <row r="28" spans="1:6">
      <c r="A28" s="16" t="s">
        <v>42</v>
      </c>
      <c r="B28" s="2">
        <f ca="1">COUNTIFS($E$2:$E21,Aging_Policy!D4)</f>
        <v>4</v>
      </c>
      <c r="C28" s="10">
        <f ca="1">SUMIFS($F$2:$F21,$E$2:$E21,Aging_Policy!D4)</f>
        <v>22600000</v>
      </c>
    </row>
    <row r="29" spans="1:6">
      <c r="A29" s="16" t="s">
        <v>43</v>
      </c>
      <c r="B29" s="2">
        <f ca="1">COUNTIFS($E$2:$E21,Aging_Policy!D5)</f>
        <v>8</v>
      </c>
      <c r="C29" s="10">
        <f ca="1">SUMIFS($F$2:$F21,$E$2:$E21,Aging_Policy!D5)</f>
        <v>224000000</v>
      </c>
    </row>
  </sheetData>
  <phoneticPr fontId="13" type="noConversion"/>
  <pageMargins left="0.75" right="0.75" top="1" bottom="1" header="0.511811023622047" footer="0.511811023622047"/>
  <pageSetup paperSize="9" orientation="portrait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AR_Data</vt:lpstr>
      <vt:lpstr>Aging_Policy</vt:lpstr>
      <vt:lpstr>AR_Aging_Summary_VBA</vt:lpstr>
      <vt:lpstr>AR_Aging_Summary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정승후</cp:lastModifiedBy>
  <cp:revision>0</cp:revision>
  <dcterms:created xsi:type="dcterms:W3CDTF">2026-07-15T01:05:10Z</dcterms:created>
  <dcterms:modified xsi:type="dcterms:W3CDTF">2026-07-15T02:16:17Z</dcterms:modified>
  <dc:language>en-US</dc:language>
</cp:coreProperties>
</file>