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_Data" sheetId="1" state="visible" r:id="rId3"/>
    <sheet name="Aging_Policy" sheetId="2" state="visible" r:id="rId4"/>
    <sheet name="AR_Aging_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" authorId="0">
      <text>
        <r>
          <rPr>
            <sz val="10"/>
            <rFont val="Noto Sans CJK SC"/>
            <family val="2"/>
          </rPr>
          <t xml:space="preserve">경과일수는 </t>
        </r>
        <r>
          <rPr>
            <sz val="10"/>
            <rFont val="Arial"/>
            <family val="2"/>
          </rPr>
          <t xml:space="preserve">TODAY() </t>
        </r>
        <r>
          <rPr>
            <sz val="10"/>
            <rFont val="Noto Sans CJK SC"/>
            <family val="2"/>
          </rPr>
          <t xml:space="preserve">기준이라 파일을 여는 날짜에 따라 값이 달라집니다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<sst xmlns="http://schemas.openxmlformats.org/spreadsheetml/2006/main" count="49" uniqueCount="44">
  <si>
    <t xml:space="preserve">거래처명</t>
  </si>
  <si>
    <t xml:space="preserve">채권발생일</t>
  </si>
  <si>
    <t xml:space="preserve">채권금액</t>
  </si>
  <si>
    <r>
      <rPr>
        <sz val="11"/>
        <rFont val="Noto Sans CJK SC"/>
        <family val="2"/>
      </rPr>
      <t xml:space="preserve">거래처</t>
    </r>
    <r>
      <rPr>
        <sz val="11"/>
        <rFont val="Arial"/>
        <family val="0"/>
        <charset val="1"/>
      </rPr>
      <t xml:space="preserve">A</t>
    </r>
  </si>
  <si>
    <r>
      <rPr>
        <sz val="11"/>
        <rFont val="Noto Sans CJK SC"/>
        <family val="2"/>
      </rPr>
      <t xml:space="preserve">거래처</t>
    </r>
    <r>
      <rPr>
        <sz val="11"/>
        <rFont val="Arial"/>
        <family val="0"/>
        <charset val="1"/>
      </rPr>
      <t xml:space="preserve">B</t>
    </r>
  </si>
  <si>
    <r>
      <rPr>
        <sz val="11"/>
        <rFont val="Noto Sans CJK SC"/>
        <family val="2"/>
      </rPr>
      <t xml:space="preserve">거래처</t>
    </r>
    <r>
      <rPr>
        <sz val="11"/>
        <rFont val="Arial"/>
        <family val="0"/>
        <charset val="1"/>
      </rPr>
      <t xml:space="preserve">C</t>
    </r>
  </si>
  <si>
    <r>
      <rPr>
        <sz val="11"/>
        <rFont val="Noto Sans CJK SC"/>
        <family val="2"/>
      </rPr>
      <t xml:space="preserve">거래처</t>
    </r>
    <r>
      <rPr>
        <sz val="11"/>
        <rFont val="Arial"/>
        <family val="0"/>
        <charset val="1"/>
      </rPr>
      <t xml:space="preserve">D</t>
    </r>
  </si>
  <si>
    <r>
      <rPr>
        <sz val="11"/>
        <rFont val="Noto Sans CJK SC"/>
        <family val="2"/>
      </rPr>
      <t xml:space="preserve">거래처</t>
    </r>
    <r>
      <rPr>
        <sz val="11"/>
        <rFont val="Arial"/>
        <family val="0"/>
        <charset val="1"/>
      </rPr>
      <t xml:space="preserve">E</t>
    </r>
  </si>
  <si>
    <r>
      <rPr>
        <sz val="11"/>
        <rFont val="Noto Sans CJK SC"/>
        <family val="2"/>
      </rPr>
      <t xml:space="preserve">거래처</t>
    </r>
    <r>
      <rPr>
        <sz val="11"/>
        <rFont val="Arial"/>
        <family val="0"/>
        <charset val="1"/>
      </rPr>
      <t xml:space="preserve">F</t>
    </r>
  </si>
  <si>
    <r>
      <rPr>
        <sz val="11"/>
        <rFont val="Noto Sans CJK SC"/>
        <family val="2"/>
      </rPr>
      <t xml:space="preserve">거래처</t>
    </r>
    <r>
      <rPr>
        <sz val="11"/>
        <rFont val="Arial"/>
        <family val="0"/>
        <charset val="1"/>
      </rPr>
      <t xml:space="preserve">G</t>
    </r>
  </si>
  <si>
    <r>
      <rPr>
        <sz val="11"/>
        <rFont val="Noto Sans CJK SC"/>
        <family val="2"/>
      </rPr>
      <t xml:space="preserve">거래처</t>
    </r>
    <r>
      <rPr>
        <sz val="11"/>
        <rFont val="Arial"/>
        <family val="0"/>
        <charset val="1"/>
      </rPr>
      <t xml:space="preserve">H</t>
    </r>
  </si>
  <si>
    <r>
      <rPr>
        <sz val="11"/>
        <rFont val="Noto Sans CJK SC"/>
        <family val="2"/>
      </rPr>
      <t xml:space="preserve">거래처</t>
    </r>
    <r>
      <rPr>
        <sz val="11"/>
        <rFont val="Arial"/>
        <family val="0"/>
        <charset val="1"/>
      </rPr>
      <t xml:space="preserve">I</t>
    </r>
  </si>
  <si>
    <r>
      <rPr>
        <sz val="11"/>
        <rFont val="Noto Sans CJK SC"/>
        <family val="2"/>
      </rPr>
      <t xml:space="preserve">거래처</t>
    </r>
    <r>
      <rPr>
        <sz val="11"/>
        <rFont val="Arial"/>
        <family val="0"/>
        <charset val="1"/>
      </rPr>
      <t xml:space="preserve">J</t>
    </r>
  </si>
  <si>
    <r>
      <rPr>
        <sz val="11"/>
        <rFont val="Noto Sans CJK SC"/>
        <family val="2"/>
      </rPr>
      <t xml:space="preserve">거래처</t>
    </r>
    <r>
      <rPr>
        <sz val="11"/>
        <rFont val="Arial"/>
        <family val="0"/>
        <charset val="1"/>
      </rPr>
      <t xml:space="preserve">K</t>
    </r>
  </si>
  <si>
    <r>
      <rPr>
        <sz val="11"/>
        <rFont val="Noto Sans CJK SC"/>
        <family val="2"/>
      </rPr>
      <t xml:space="preserve">거래처</t>
    </r>
    <r>
      <rPr>
        <sz val="11"/>
        <rFont val="Arial"/>
        <family val="0"/>
        <charset val="1"/>
      </rPr>
      <t xml:space="preserve">L</t>
    </r>
  </si>
  <si>
    <r>
      <rPr>
        <sz val="11"/>
        <rFont val="Noto Sans CJK SC"/>
        <family val="2"/>
      </rPr>
      <t xml:space="preserve">거래처</t>
    </r>
    <r>
      <rPr>
        <sz val="11"/>
        <rFont val="Arial"/>
        <family val="0"/>
        <charset val="1"/>
      </rPr>
      <t xml:space="preserve">M</t>
    </r>
  </si>
  <si>
    <r>
      <rPr>
        <sz val="11"/>
        <rFont val="Noto Sans CJK SC"/>
        <family val="2"/>
      </rPr>
      <t xml:space="preserve">거래처</t>
    </r>
    <r>
      <rPr>
        <sz val="11"/>
        <rFont val="Arial"/>
        <family val="0"/>
        <charset val="1"/>
      </rPr>
      <t xml:space="preserve">N</t>
    </r>
  </si>
  <si>
    <r>
      <rPr>
        <sz val="11"/>
        <rFont val="Noto Sans CJK SC"/>
        <family val="2"/>
      </rPr>
      <t xml:space="preserve">거래처</t>
    </r>
    <r>
      <rPr>
        <sz val="11"/>
        <rFont val="Arial"/>
        <family val="0"/>
        <charset val="1"/>
      </rPr>
      <t xml:space="preserve">O</t>
    </r>
  </si>
  <si>
    <r>
      <rPr>
        <sz val="11"/>
        <rFont val="Noto Sans CJK SC"/>
        <family val="2"/>
      </rPr>
      <t xml:space="preserve">거래처</t>
    </r>
    <r>
      <rPr>
        <sz val="11"/>
        <rFont val="Arial"/>
        <family val="0"/>
        <charset val="1"/>
      </rPr>
      <t xml:space="preserve">P</t>
    </r>
  </si>
  <si>
    <r>
      <rPr>
        <sz val="11"/>
        <rFont val="Noto Sans CJK SC"/>
        <family val="2"/>
      </rPr>
      <t xml:space="preserve">거래처</t>
    </r>
    <r>
      <rPr>
        <sz val="11"/>
        <rFont val="Arial"/>
        <family val="0"/>
        <charset val="1"/>
      </rPr>
      <t xml:space="preserve">Q</t>
    </r>
  </si>
  <si>
    <r>
      <rPr>
        <sz val="11"/>
        <rFont val="Noto Sans CJK SC"/>
        <family val="2"/>
      </rPr>
      <t xml:space="preserve">거래처</t>
    </r>
    <r>
      <rPr>
        <sz val="11"/>
        <rFont val="Arial"/>
        <family val="0"/>
        <charset val="1"/>
      </rPr>
      <t xml:space="preserve">R</t>
    </r>
  </si>
  <si>
    <r>
      <rPr>
        <sz val="11"/>
        <rFont val="Noto Sans CJK SC"/>
        <family val="2"/>
      </rPr>
      <t xml:space="preserve">거래처</t>
    </r>
    <r>
      <rPr>
        <sz val="11"/>
        <rFont val="Arial"/>
        <family val="0"/>
        <charset val="1"/>
      </rPr>
      <t xml:space="preserve">S</t>
    </r>
  </si>
  <si>
    <r>
      <rPr>
        <sz val="11"/>
        <rFont val="Noto Sans CJK SC"/>
        <family val="2"/>
      </rPr>
      <t xml:space="preserve">거래처</t>
    </r>
    <r>
      <rPr>
        <sz val="11"/>
        <rFont val="Arial"/>
        <family val="0"/>
        <charset val="1"/>
      </rPr>
      <t xml:space="preserve">T</t>
    </r>
  </si>
  <si>
    <r>
      <rPr>
        <i val="true"/>
        <sz val="9"/>
        <color rgb="FF808080"/>
        <rFont val="Noto Sans CJK SC"/>
        <family val="2"/>
      </rPr>
      <t xml:space="preserve">※ 상단 데이터는 시연용 샘플 데이터입니다 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Noto Sans CJK SC"/>
        <family val="2"/>
      </rPr>
      <t xml:space="preserve">실제 거래처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Noto Sans CJK SC"/>
        <family val="2"/>
      </rPr>
      <t xml:space="preserve">금액 아님</t>
    </r>
    <r>
      <rPr>
        <i val="true"/>
        <sz val="9"/>
        <color rgb="FF808080"/>
        <rFont val="Arial"/>
        <family val="0"/>
        <charset val="1"/>
      </rPr>
      <t xml:space="preserve">).</t>
    </r>
  </si>
  <si>
    <t xml:space="preserve">최소경과일</t>
  </si>
  <si>
    <t xml:space="preserve">구간명</t>
  </si>
  <si>
    <r>
      <rPr>
        <b val="true"/>
        <sz val="11"/>
        <color rgb="FFFFFFFF"/>
        <rFont val="Noto Sans CJK SC"/>
        <family val="2"/>
      </rPr>
      <t xml:space="preserve">최대경과일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참고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</si>
  <si>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대손율</t>
  </si>
  <si>
    <r>
      <rPr>
        <sz val="11"/>
        <color rgb="FF0000FF"/>
        <rFont val="Arial"/>
        <family val="0"/>
        <charset val="1"/>
      </rPr>
      <t xml:space="preserve">0~90</t>
    </r>
    <r>
      <rPr>
        <sz val="11"/>
        <color rgb="FF0000FF"/>
        <rFont val="Noto Sans CJK SC"/>
        <family val="2"/>
      </rPr>
      <t xml:space="preserve">일</t>
    </r>
  </si>
  <si>
    <r>
      <rPr>
        <sz val="11"/>
        <color rgb="FF0000FF"/>
        <rFont val="Arial"/>
        <family val="0"/>
        <charset val="1"/>
      </rPr>
      <t xml:space="preserve">91~180</t>
    </r>
    <r>
      <rPr>
        <sz val="11"/>
        <color rgb="FF0000FF"/>
        <rFont val="Noto Sans CJK SC"/>
        <family val="2"/>
      </rPr>
      <t xml:space="preserve">일</t>
    </r>
  </si>
  <si>
    <r>
      <rPr>
        <sz val="11"/>
        <color rgb="FF0000FF"/>
        <rFont val="Arial"/>
        <family val="0"/>
        <charset val="1"/>
      </rPr>
      <t xml:space="preserve">181~365</t>
    </r>
    <r>
      <rPr>
        <sz val="11"/>
        <color rgb="FF0000FF"/>
        <rFont val="Noto Sans CJK SC"/>
        <family val="2"/>
      </rPr>
      <t xml:space="preserve">일</t>
    </r>
  </si>
  <si>
    <r>
      <rPr>
        <sz val="11"/>
        <color rgb="FF0000FF"/>
        <rFont val="Arial"/>
        <family val="0"/>
        <charset val="1"/>
      </rPr>
      <t xml:space="preserve">366</t>
    </r>
    <r>
      <rPr>
        <sz val="11"/>
        <color rgb="FF0000FF"/>
        <rFont val="Noto Sans CJK SC"/>
        <family val="2"/>
      </rPr>
      <t xml:space="preserve">일 초과</t>
    </r>
  </si>
  <si>
    <t xml:space="preserve">-</t>
  </si>
  <si>
    <r>
      <rPr>
        <i val="true"/>
        <sz val="9"/>
        <color rgb="FF808080"/>
        <rFont val="Arial"/>
        <family val="0"/>
        <charset val="1"/>
      </rPr>
      <t xml:space="preserve">Source: </t>
    </r>
    <r>
      <rPr>
        <i val="true"/>
        <sz val="9"/>
        <color rgb="FF808080"/>
        <rFont val="Noto Sans CJK SC"/>
        <family val="2"/>
      </rPr>
      <t xml:space="preserve">시연용 예시 정책치입니다</t>
    </r>
    <r>
      <rPr>
        <i val="true"/>
        <sz val="9"/>
        <color rgb="FF808080"/>
        <rFont val="Arial"/>
        <family val="0"/>
        <charset val="1"/>
      </rPr>
      <t xml:space="preserve">. </t>
    </r>
    <r>
      <rPr>
        <i val="true"/>
        <sz val="9"/>
        <color rgb="FF808080"/>
        <rFont val="Noto Sans CJK SC"/>
        <family val="2"/>
      </rPr>
      <t xml:space="preserve">실무에서는 과거 대손 실적률</t>
    </r>
    <r>
      <rPr>
        <i val="true"/>
        <sz val="9"/>
        <color rgb="FF808080"/>
        <rFont val="Arial"/>
        <family val="0"/>
        <charset val="1"/>
      </rPr>
      <t xml:space="preserve">, </t>
    </r>
    <r>
      <rPr>
        <i val="true"/>
        <sz val="9"/>
        <color rgb="FF808080"/>
        <rFont val="Noto Sans CJK SC"/>
        <family val="2"/>
      </rPr>
      <t xml:space="preserve">산업 통계</t>
    </r>
    <r>
      <rPr>
        <i val="true"/>
        <sz val="9"/>
        <color rgb="FF808080"/>
        <rFont val="Arial"/>
        <family val="0"/>
        <charset val="1"/>
      </rPr>
      <t xml:space="preserve">, </t>
    </r>
    <r>
      <rPr>
        <i val="true"/>
        <sz val="9"/>
        <color rgb="FF808080"/>
        <rFont val="Noto Sans CJK SC"/>
        <family val="2"/>
      </rPr>
      <t xml:space="preserve">거래처 신용도 등 실제 근거자료를 바탕으로 산정해야 합니다</t>
    </r>
    <r>
      <rPr>
        <i val="true"/>
        <sz val="9"/>
        <color rgb="FF808080"/>
        <rFont val="Arial"/>
        <family val="0"/>
        <charset val="1"/>
      </rPr>
      <t xml:space="preserve">.</t>
    </r>
  </si>
  <si>
    <t xml:space="preserve">경과일수</t>
  </si>
  <si>
    <t xml:space="preserve">대손충당금</t>
  </si>
  <si>
    <t xml:space="preserve">합계</t>
  </si>
  <si>
    <t xml:space="preserve">구간별 대손충당금 소계</t>
  </si>
  <si>
    <t xml:space="preserve">채권 건수</t>
  </si>
  <si>
    <t xml:space="preserve">충당금 합계</t>
  </si>
  <si>
    <r>
      <rPr>
        <sz val="11"/>
        <rFont val="Arial"/>
        <family val="0"/>
        <charset val="1"/>
      </rPr>
      <t xml:space="preserve">0~90</t>
    </r>
    <r>
      <rPr>
        <sz val="11"/>
        <rFont val="Noto Sans CJK SC"/>
        <family val="2"/>
      </rPr>
      <t xml:space="preserve">일</t>
    </r>
  </si>
  <si>
    <r>
      <rPr>
        <sz val="11"/>
        <rFont val="Arial"/>
        <family val="0"/>
        <charset val="1"/>
      </rPr>
      <t xml:space="preserve">91~180</t>
    </r>
    <r>
      <rPr>
        <sz val="11"/>
        <rFont val="Noto Sans CJK SC"/>
        <family val="2"/>
      </rPr>
      <t xml:space="preserve">일</t>
    </r>
  </si>
  <si>
    <r>
      <rPr>
        <sz val="11"/>
        <rFont val="Arial"/>
        <family val="0"/>
        <charset val="1"/>
      </rPr>
      <t xml:space="preserve">181~365</t>
    </r>
    <r>
      <rPr>
        <sz val="11"/>
        <rFont val="Noto Sans CJK SC"/>
        <family val="2"/>
      </rPr>
      <t xml:space="preserve">일</t>
    </r>
  </si>
  <si>
    <r>
      <rPr>
        <sz val="11"/>
        <rFont val="Arial"/>
        <family val="0"/>
        <charset val="1"/>
      </rPr>
      <t xml:space="preserve">366</t>
    </r>
    <r>
      <rPr>
        <sz val="11"/>
        <rFont val="Noto Sans CJK SC"/>
        <family val="2"/>
      </rPr>
      <t xml:space="preserve">일 초과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</si>
</sst>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#,##0"/>
    <numFmt numFmtId="167" formatCode="0.0%"/>
    <numFmt numFmtId="168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sz val="11"/>
      <name val="Noto Sans CJK SC"/>
      <family val="2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808080"/>
      <name val="Noto Sans CJK SC"/>
      <family val="2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Noto Sans CJK SC"/>
      <family val="2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sz val="10"/>
      <name val="Noto Sans CJK SC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70AD47"/>
        <bgColor rgb="FF339966"/>
      </patternFill>
    </fill>
    <fill>
      <patternFill patternType="solid">
        <fgColor rgb="FFA9D08E"/>
        <bgColor rgb="FF99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0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7.15" hidden="false" customHeight="false" outlineLevel="0" collapsed="false">
      <c r="A2" s="2" t="s">
        <v>3</v>
      </c>
      <c r="B2" s="3" t="n">
        <v>45218</v>
      </c>
      <c r="C2" s="4" t="n">
        <v>74000000</v>
      </c>
    </row>
    <row r="3" customFormat="false" ht="17.15" hidden="false" customHeight="false" outlineLevel="0" collapsed="false">
      <c r="A3" s="2" t="s">
        <v>4</v>
      </c>
      <c r="B3" s="3" t="n">
        <v>46098</v>
      </c>
      <c r="C3" s="4" t="n">
        <v>28000000</v>
      </c>
    </row>
    <row r="4" customFormat="false" ht="17.15" hidden="false" customHeight="false" outlineLevel="0" collapsed="false">
      <c r="A4" s="2" t="s">
        <v>5</v>
      </c>
      <c r="B4" s="3" t="n">
        <v>45718</v>
      </c>
      <c r="C4" s="4" t="n">
        <v>72000000</v>
      </c>
    </row>
    <row r="5" customFormat="false" ht="17.15" hidden="false" customHeight="false" outlineLevel="0" collapsed="false">
      <c r="A5" s="2" t="s">
        <v>6</v>
      </c>
      <c r="B5" s="3" t="n">
        <v>46123</v>
      </c>
      <c r="C5" s="4" t="n">
        <v>56000000</v>
      </c>
    </row>
    <row r="6" customFormat="false" ht="17.15" hidden="false" customHeight="false" outlineLevel="0" collapsed="false">
      <c r="A6" s="2" t="s">
        <v>7</v>
      </c>
      <c r="B6" s="3" t="n">
        <v>45988</v>
      </c>
      <c r="C6" s="4" t="n">
        <v>31000000</v>
      </c>
    </row>
    <row r="7" customFormat="false" ht="17.15" hidden="false" customHeight="false" outlineLevel="0" collapsed="false">
      <c r="A7" s="2" t="s">
        <v>8</v>
      </c>
      <c r="B7" s="3" t="n">
        <v>45798</v>
      </c>
      <c r="C7" s="4" t="n">
        <v>60000000</v>
      </c>
    </row>
    <row r="8" customFormat="false" ht="17.15" hidden="false" customHeight="false" outlineLevel="0" collapsed="false">
      <c r="A8" s="2" t="s">
        <v>9</v>
      </c>
      <c r="B8" s="3" t="n">
        <v>45618</v>
      </c>
      <c r="C8" s="4" t="n">
        <v>78000000</v>
      </c>
    </row>
    <row r="9" customFormat="false" ht="17.15" hidden="false" customHeight="false" outlineLevel="0" collapsed="false">
      <c r="A9" s="2" t="s">
        <v>10</v>
      </c>
      <c r="B9" s="3" t="n">
        <v>45318</v>
      </c>
      <c r="C9" s="4" t="n">
        <v>38000000</v>
      </c>
    </row>
    <row r="10" customFormat="false" ht="17.15" hidden="false" customHeight="false" outlineLevel="0" collapsed="false">
      <c r="A10" s="2" t="s">
        <v>11</v>
      </c>
      <c r="B10" s="3" t="n">
        <v>46068</v>
      </c>
      <c r="C10" s="4" t="n">
        <v>3000000</v>
      </c>
    </row>
    <row r="11" customFormat="false" ht="17.15" hidden="false" customHeight="false" outlineLevel="0" collapsed="false">
      <c r="A11" s="2" t="s">
        <v>12</v>
      </c>
      <c r="B11" s="3" t="n">
        <v>45848</v>
      </c>
      <c r="C11" s="4" t="n">
        <v>23000000</v>
      </c>
    </row>
    <row r="12" customFormat="false" ht="17.15" hidden="false" customHeight="false" outlineLevel="0" collapsed="false">
      <c r="A12" s="2" t="s">
        <v>13</v>
      </c>
      <c r="B12" s="3" t="n">
        <v>45418</v>
      </c>
      <c r="C12" s="4" t="n">
        <v>57000000</v>
      </c>
    </row>
    <row r="13" customFormat="false" ht="17.15" hidden="false" customHeight="false" outlineLevel="0" collapsed="false">
      <c r="A13" s="2" t="s">
        <v>14</v>
      </c>
      <c r="B13" s="3" t="n">
        <v>45938</v>
      </c>
      <c r="C13" s="4" t="n">
        <v>46000000</v>
      </c>
    </row>
    <row r="14" customFormat="false" ht="17.15" hidden="false" customHeight="false" outlineLevel="0" collapsed="false">
      <c r="A14" s="2" t="s">
        <v>15</v>
      </c>
      <c r="B14" s="3" t="n">
        <v>46173</v>
      </c>
      <c r="C14" s="4" t="n">
        <v>38000000</v>
      </c>
    </row>
    <row r="15" customFormat="false" ht="17.15" hidden="false" customHeight="false" outlineLevel="0" collapsed="false">
      <c r="A15" s="2" t="s">
        <v>16</v>
      </c>
      <c r="B15" s="3" t="n">
        <v>45858</v>
      </c>
      <c r="C15" s="4" t="n">
        <v>22000000</v>
      </c>
    </row>
    <row r="16" customFormat="false" ht="17.15" hidden="false" customHeight="false" outlineLevel="0" collapsed="false">
      <c r="A16" s="2" t="s">
        <v>17</v>
      </c>
      <c r="B16" s="3" t="n">
        <v>46148</v>
      </c>
      <c r="C16" s="4" t="n">
        <v>30000000</v>
      </c>
    </row>
    <row r="17" customFormat="false" ht="17.15" hidden="false" customHeight="false" outlineLevel="0" collapsed="false">
      <c r="A17" s="2" t="s">
        <v>18</v>
      </c>
      <c r="B17" s="3" t="n">
        <v>45518</v>
      </c>
      <c r="C17" s="4" t="n">
        <v>46000000</v>
      </c>
    </row>
    <row r="18" customFormat="false" ht="17.15" hidden="false" customHeight="false" outlineLevel="0" collapsed="false">
      <c r="A18" s="2" t="s">
        <v>19</v>
      </c>
      <c r="B18" s="3" t="n">
        <v>46040</v>
      </c>
      <c r="C18" s="4" t="n">
        <v>16000000</v>
      </c>
    </row>
    <row r="19" customFormat="false" ht="17.15" hidden="false" customHeight="false" outlineLevel="0" collapsed="false">
      <c r="A19" s="2" t="s">
        <v>20</v>
      </c>
      <c r="B19" s="3" t="n">
        <v>46028</v>
      </c>
      <c r="C19" s="4" t="n">
        <v>14000000</v>
      </c>
    </row>
    <row r="20" customFormat="false" ht="17.15" hidden="false" customHeight="false" outlineLevel="0" collapsed="false">
      <c r="A20" s="2" t="s">
        <v>21</v>
      </c>
      <c r="B20" s="3" t="n">
        <v>46203</v>
      </c>
      <c r="C20" s="4" t="n">
        <v>51000000</v>
      </c>
    </row>
    <row r="21" customFormat="false" ht="17.15" hidden="false" customHeight="false" outlineLevel="0" collapsed="false">
      <c r="A21" s="2" t="s">
        <v>22</v>
      </c>
      <c r="B21" s="3" t="n">
        <v>46130</v>
      </c>
      <c r="C21" s="4" t="n">
        <v>15000000</v>
      </c>
    </row>
    <row r="23" customFormat="false" ht="15" hidden="false" customHeight="false" outlineLevel="0" collapsed="false">
      <c r="A23" s="5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0"/>
  </cols>
  <sheetData>
    <row r="1" customFormat="false" ht="17.15" hidden="false" customHeight="false" outlineLevel="0" collapsed="false">
      <c r="A1" s="1" t="s">
        <v>24</v>
      </c>
      <c r="B1" s="1" t="s">
        <v>25</v>
      </c>
      <c r="C1" s="1" t="s">
        <v>26</v>
      </c>
      <c r="D1" s="1" t="s">
        <v>27</v>
      </c>
    </row>
    <row r="2" customFormat="false" ht="17.15" hidden="false" customHeight="false" outlineLevel="0" collapsed="false">
      <c r="A2" s="6" t="n">
        <v>0</v>
      </c>
      <c r="B2" s="6" t="s">
        <v>28</v>
      </c>
      <c r="C2" s="6" t="n">
        <v>90</v>
      </c>
      <c r="D2" s="7" t="n">
        <v>0.01</v>
      </c>
    </row>
    <row r="3" customFormat="false" ht="17.15" hidden="false" customHeight="false" outlineLevel="0" collapsed="false">
      <c r="A3" s="6" t="n">
        <v>91</v>
      </c>
      <c r="B3" s="6" t="s">
        <v>29</v>
      </c>
      <c r="C3" s="6" t="n">
        <v>180</v>
      </c>
      <c r="D3" s="7" t="n">
        <v>0.05</v>
      </c>
    </row>
    <row r="4" customFormat="false" ht="17.15" hidden="false" customHeight="false" outlineLevel="0" collapsed="false">
      <c r="A4" s="6" t="n">
        <v>181</v>
      </c>
      <c r="B4" s="6" t="s">
        <v>30</v>
      </c>
      <c r="C4" s="6" t="n">
        <v>365</v>
      </c>
      <c r="D4" s="7" t="n">
        <v>0.2</v>
      </c>
    </row>
    <row r="5" customFormat="false" ht="17.15" hidden="false" customHeight="false" outlineLevel="0" collapsed="false">
      <c r="A5" s="6" t="n">
        <v>366</v>
      </c>
      <c r="B5" s="6" t="s">
        <v>31</v>
      </c>
      <c r="C5" s="6" t="s">
        <v>32</v>
      </c>
      <c r="D5" s="7" t="n">
        <v>0.5</v>
      </c>
    </row>
    <row r="7" customFormat="false" ht="15" hidden="false" customHeight="false" outlineLevel="0" collapsed="false">
      <c r="A7" s="8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4"/>
    <col collapsed="false" customWidth="true" hidden="false" outlineLevel="0" max="5" min="4" style="0" width="10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9" t="s">
        <v>0</v>
      </c>
      <c r="B1" s="9" t="s">
        <v>1</v>
      </c>
      <c r="C1" s="9" t="s">
        <v>2</v>
      </c>
      <c r="D1" s="9" t="s">
        <v>34</v>
      </c>
      <c r="E1" s="9" t="s">
        <v>27</v>
      </c>
      <c r="F1" s="9" t="s">
        <v>35</v>
      </c>
    </row>
    <row r="2" customFormat="false" ht="17.15" hidden="false" customHeight="false" outlineLevel="0" collapsed="false">
      <c r="A2" s="2" t="str">
        <f aca="false">AR_Data!A2</f>
        <v>거래처A</v>
      </c>
      <c r="B2" s="3" t="n">
        <f aca="false">AR_Data!B2</f>
        <v>45218</v>
      </c>
      <c r="C2" s="10" t="n">
        <f aca="false">AR_Data!C2</f>
        <v>74000000</v>
      </c>
      <c r="D2" s="11" t="n">
        <f aca="true">TODAY()-B2</f>
        <v>1000</v>
      </c>
      <c r="E2" s="12" t="n">
        <f aca="false">VLOOKUP(D2,Aging_Policy!$A$2:$D$5,4,TRUE())</f>
        <v>0.5</v>
      </c>
      <c r="F2" s="10" t="n">
        <f aca="false">C2*E2</f>
        <v>37000000</v>
      </c>
    </row>
    <row r="3" customFormat="false" ht="17.15" hidden="false" customHeight="false" outlineLevel="0" collapsed="false">
      <c r="A3" s="2" t="str">
        <f aca="false">AR_Data!A3</f>
        <v>거래처B</v>
      </c>
      <c r="B3" s="3" t="n">
        <f aca="false">AR_Data!B3</f>
        <v>46098</v>
      </c>
      <c r="C3" s="10" t="n">
        <f aca="false">AR_Data!C3</f>
        <v>28000000</v>
      </c>
      <c r="D3" s="11" t="n">
        <f aca="true">TODAY()-B3</f>
        <v>120</v>
      </c>
      <c r="E3" s="12" t="n">
        <f aca="false">VLOOKUP(D3,Aging_Policy!$A$2:$D$5,4,TRUE())</f>
        <v>0.05</v>
      </c>
      <c r="F3" s="10" t="n">
        <f aca="false">C3*E3</f>
        <v>1400000</v>
      </c>
    </row>
    <row r="4" customFormat="false" ht="17.15" hidden="false" customHeight="false" outlineLevel="0" collapsed="false">
      <c r="A4" s="2" t="str">
        <f aca="false">AR_Data!A4</f>
        <v>거래처C</v>
      </c>
      <c r="B4" s="3" t="n">
        <f aca="false">AR_Data!B4</f>
        <v>45718</v>
      </c>
      <c r="C4" s="10" t="n">
        <f aca="false">AR_Data!C4</f>
        <v>72000000</v>
      </c>
      <c r="D4" s="11" t="n">
        <f aca="true">TODAY()-B4</f>
        <v>500</v>
      </c>
      <c r="E4" s="12" t="n">
        <f aca="false">VLOOKUP(D4,Aging_Policy!$A$2:$D$5,4,TRUE())</f>
        <v>0.5</v>
      </c>
      <c r="F4" s="10" t="n">
        <f aca="false">C4*E4</f>
        <v>36000000</v>
      </c>
    </row>
    <row r="5" customFormat="false" ht="17.15" hidden="false" customHeight="false" outlineLevel="0" collapsed="false">
      <c r="A5" s="2" t="str">
        <f aca="false">AR_Data!A5</f>
        <v>거래처D</v>
      </c>
      <c r="B5" s="3" t="n">
        <f aca="false">AR_Data!B5</f>
        <v>46123</v>
      </c>
      <c r="C5" s="10" t="n">
        <f aca="false">AR_Data!C5</f>
        <v>56000000</v>
      </c>
      <c r="D5" s="11" t="n">
        <f aca="true">TODAY()-B5</f>
        <v>95</v>
      </c>
      <c r="E5" s="12" t="n">
        <f aca="false">VLOOKUP(D5,Aging_Policy!$A$2:$D$5,4,TRUE())</f>
        <v>0.05</v>
      </c>
      <c r="F5" s="10" t="n">
        <f aca="false">C5*E5</f>
        <v>2800000</v>
      </c>
    </row>
    <row r="6" customFormat="false" ht="17.15" hidden="false" customHeight="false" outlineLevel="0" collapsed="false">
      <c r="A6" s="2" t="str">
        <f aca="false">AR_Data!A6</f>
        <v>거래처E</v>
      </c>
      <c r="B6" s="3" t="n">
        <f aca="false">AR_Data!B6</f>
        <v>45988</v>
      </c>
      <c r="C6" s="10" t="n">
        <f aca="false">AR_Data!C6</f>
        <v>31000000</v>
      </c>
      <c r="D6" s="11" t="n">
        <f aca="true">TODAY()-B6</f>
        <v>230</v>
      </c>
      <c r="E6" s="12" t="n">
        <f aca="false">VLOOKUP(D6,Aging_Policy!$A$2:$D$5,4,TRUE())</f>
        <v>0.2</v>
      </c>
      <c r="F6" s="10" t="n">
        <f aca="false">C6*E6</f>
        <v>6200000</v>
      </c>
    </row>
    <row r="7" customFormat="false" ht="17.15" hidden="false" customHeight="false" outlineLevel="0" collapsed="false">
      <c r="A7" s="2" t="str">
        <f aca="false">AR_Data!A7</f>
        <v>거래처F</v>
      </c>
      <c r="B7" s="3" t="n">
        <f aca="false">AR_Data!B7</f>
        <v>45798</v>
      </c>
      <c r="C7" s="10" t="n">
        <f aca="false">AR_Data!C7</f>
        <v>60000000</v>
      </c>
      <c r="D7" s="11" t="n">
        <f aca="true">TODAY()-B7</f>
        <v>420</v>
      </c>
      <c r="E7" s="12" t="n">
        <f aca="false">VLOOKUP(D7,Aging_Policy!$A$2:$D$5,4,TRUE())</f>
        <v>0.5</v>
      </c>
      <c r="F7" s="10" t="n">
        <f aca="false">C7*E7</f>
        <v>30000000</v>
      </c>
    </row>
    <row r="8" customFormat="false" ht="17.15" hidden="false" customHeight="false" outlineLevel="0" collapsed="false">
      <c r="A8" s="2" t="str">
        <f aca="false">AR_Data!A8</f>
        <v>거래처G</v>
      </c>
      <c r="B8" s="3" t="n">
        <f aca="false">AR_Data!B8</f>
        <v>45618</v>
      </c>
      <c r="C8" s="10" t="n">
        <f aca="false">AR_Data!C8</f>
        <v>78000000</v>
      </c>
      <c r="D8" s="11" t="n">
        <f aca="true">TODAY()-B8</f>
        <v>600</v>
      </c>
      <c r="E8" s="12" t="n">
        <f aca="false">VLOOKUP(D8,Aging_Policy!$A$2:$D$5,4,TRUE())</f>
        <v>0.5</v>
      </c>
      <c r="F8" s="10" t="n">
        <f aca="false">C8*E8</f>
        <v>39000000</v>
      </c>
    </row>
    <row r="9" customFormat="false" ht="17.15" hidden="false" customHeight="false" outlineLevel="0" collapsed="false">
      <c r="A9" s="2" t="str">
        <f aca="false">AR_Data!A9</f>
        <v>거래처H</v>
      </c>
      <c r="B9" s="3" t="n">
        <f aca="false">AR_Data!B9</f>
        <v>45318</v>
      </c>
      <c r="C9" s="10" t="n">
        <f aca="false">AR_Data!C9</f>
        <v>38000000</v>
      </c>
      <c r="D9" s="11" t="n">
        <f aca="true">TODAY()-B9</f>
        <v>900</v>
      </c>
      <c r="E9" s="12" t="n">
        <f aca="false">VLOOKUP(D9,Aging_Policy!$A$2:$D$5,4,TRUE())</f>
        <v>0.5</v>
      </c>
      <c r="F9" s="10" t="n">
        <f aca="false">C9*E9</f>
        <v>19000000</v>
      </c>
    </row>
    <row r="10" customFormat="false" ht="17.15" hidden="false" customHeight="false" outlineLevel="0" collapsed="false">
      <c r="A10" s="2" t="str">
        <f aca="false">AR_Data!A10</f>
        <v>거래처I</v>
      </c>
      <c r="B10" s="3" t="n">
        <f aca="false">AR_Data!B10</f>
        <v>46068</v>
      </c>
      <c r="C10" s="10" t="n">
        <f aca="false">AR_Data!C10</f>
        <v>3000000</v>
      </c>
      <c r="D10" s="11" t="n">
        <f aca="true">TODAY()-B10</f>
        <v>150</v>
      </c>
      <c r="E10" s="12" t="n">
        <f aca="false">VLOOKUP(D10,Aging_Policy!$A$2:$D$5,4,TRUE())</f>
        <v>0.05</v>
      </c>
      <c r="F10" s="10" t="n">
        <f aca="false">C10*E10</f>
        <v>150000</v>
      </c>
    </row>
    <row r="11" customFormat="false" ht="17.15" hidden="false" customHeight="false" outlineLevel="0" collapsed="false">
      <c r="A11" s="2" t="str">
        <f aca="false">AR_Data!A11</f>
        <v>거래처J</v>
      </c>
      <c r="B11" s="3" t="n">
        <f aca="false">AR_Data!B11</f>
        <v>45848</v>
      </c>
      <c r="C11" s="10" t="n">
        <f aca="false">AR_Data!C11</f>
        <v>23000000</v>
      </c>
      <c r="D11" s="11" t="n">
        <f aca="true">TODAY()-B11</f>
        <v>370</v>
      </c>
      <c r="E11" s="12" t="n">
        <f aca="false">VLOOKUP(D11,Aging_Policy!$A$2:$D$5,4,TRUE())</f>
        <v>0.5</v>
      </c>
      <c r="F11" s="10" t="n">
        <f aca="false">C11*E11</f>
        <v>11500000</v>
      </c>
    </row>
    <row r="12" customFormat="false" ht="17.15" hidden="false" customHeight="false" outlineLevel="0" collapsed="false">
      <c r="A12" s="2" t="str">
        <f aca="false">AR_Data!A12</f>
        <v>거래처K</v>
      </c>
      <c r="B12" s="3" t="n">
        <f aca="false">AR_Data!B12</f>
        <v>45418</v>
      </c>
      <c r="C12" s="10" t="n">
        <f aca="false">AR_Data!C12</f>
        <v>57000000</v>
      </c>
      <c r="D12" s="11" t="n">
        <f aca="true">TODAY()-B12</f>
        <v>800</v>
      </c>
      <c r="E12" s="12" t="n">
        <f aca="false">VLOOKUP(D12,Aging_Policy!$A$2:$D$5,4,TRUE())</f>
        <v>0.5</v>
      </c>
      <c r="F12" s="10" t="n">
        <f aca="false">C12*E12</f>
        <v>28500000</v>
      </c>
    </row>
    <row r="13" customFormat="false" ht="17.15" hidden="false" customHeight="false" outlineLevel="0" collapsed="false">
      <c r="A13" s="2" t="str">
        <f aca="false">AR_Data!A13</f>
        <v>거래처L</v>
      </c>
      <c r="B13" s="3" t="n">
        <f aca="false">AR_Data!B13</f>
        <v>45938</v>
      </c>
      <c r="C13" s="10" t="n">
        <f aca="false">AR_Data!C13</f>
        <v>46000000</v>
      </c>
      <c r="D13" s="11" t="n">
        <f aca="true">TODAY()-B13</f>
        <v>280</v>
      </c>
      <c r="E13" s="12" t="n">
        <f aca="false">VLOOKUP(D13,Aging_Policy!$A$2:$D$5,4,TRUE())</f>
        <v>0.2</v>
      </c>
      <c r="F13" s="10" t="n">
        <f aca="false">C13*E13</f>
        <v>9200000</v>
      </c>
    </row>
    <row r="14" customFormat="false" ht="17.15" hidden="false" customHeight="false" outlineLevel="0" collapsed="false">
      <c r="A14" s="2" t="str">
        <f aca="false">AR_Data!A14</f>
        <v>거래처M</v>
      </c>
      <c r="B14" s="3" t="n">
        <f aca="false">AR_Data!B14</f>
        <v>46173</v>
      </c>
      <c r="C14" s="10" t="n">
        <f aca="false">AR_Data!C14</f>
        <v>38000000</v>
      </c>
      <c r="D14" s="11" t="n">
        <f aca="true">TODAY()-B14</f>
        <v>45</v>
      </c>
      <c r="E14" s="12" t="n">
        <f aca="false">VLOOKUP(D14,Aging_Policy!$A$2:$D$5,4,TRUE())</f>
        <v>0.01</v>
      </c>
      <c r="F14" s="10" t="n">
        <f aca="false">C14*E14</f>
        <v>380000</v>
      </c>
    </row>
    <row r="15" customFormat="false" ht="17.15" hidden="false" customHeight="false" outlineLevel="0" collapsed="false">
      <c r="A15" s="2" t="str">
        <f aca="false">AR_Data!A15</f>
        <v>거래처N</v>
      </c>
      <c r="B15" s="3" t="n">
        <f aca="false">AR_Data!B15</f>
        <v>45858</v>
      </c>
      <c r="C15" s="10" t="n">
        <f aca="false">AR_Data!C15</f>
        <v>22000000</v>
      </c>
      <c r="D15" s="11" t="n">
        <f aca="true">TODAY()-B15</f>
        <v>360</v>
      </c>
      <c r="E15" s="12" t="n">
        <f aca="false">VLOOKUP(D15,Aging_Policy!$A$2:$D$5,4,TRUE())</f>
        <v>0.2</v>
      </c>
      <c r="F15" s="10" t="n">
        <f aca="false">C15*E15</f>
        <v>4400000</v>
      </c>
    </row>
    <row r="16" customFormat="false" ht="17.15" hidden="false" customHeight="false" outlineLevel="0" collapsed="false">
      <c r="A16" s="2" t="str">
        <f aca="false">AR_Data!A16</f>
        <v>거래처O</v>
      </c>
      <c r="B16" s="3" t="n">
        <f aca="false">AR_Data!B16</f>
        <v>46148</v>
      </c>
      <c r="C16" s="10" t="n">
        <f aca="false">AR_Data!C16</f>
        <v>30000000</v>
      </c>
      <c r="D16" s="11" t="n">
        <f aca="true">TODAY()-B16</f>
        <v>70</v>
      </c>
      <c r="E16" s="12" t="n">
        <f aca="false">VLOOKUP(D16,Aging_Policy!$A$2:$D$5,4,TRUE())</f>
        <v>0.01</v>
      </c>
      <c r="F16" s="10" t="n">
        <f aca="false">C16*E16</f>
        <v>300000</v>
      </c>
    </row>
    <row r="17" customFormat="false" ht="17.15" hidden="false" customHeight="false" outlineLevel="0" collapsed="false">
      <c r="A17" s="2" t="str">
        <f aca="false">AR_Data!A17</f>
        <v>거래처P</v>
      </c>
      <c r="B17" s="3" t="n">
        <f aca="false">AR_Data!B17</f>
        <v>45518</v>
      </c>
      <c r="C17" s="10" t="n">
        <f aca="false">AR_Data!C17</f>
        <v>46000000</v>
      </c>
      <c r="D17" s="11" t="n">
        <f aca="true">TODAY()-B17</f>
        <v>700</v>
      </c>
      <c r="E17" s="12" t="n">
        <f aca="false">VLOOKUP(D17,Aging_Policy!$A$2:$D$5,4,TRUE())</f>
        <v>0.5</v>
      </c>
      <c r="F17" s="10" t="n">
        <f aca="false">C17*E17</f>
        <v>23000000</v>
      </c>
    </row>
    <row r="18" customFormat="false" ht="17.15" hidden="false" customHeight="false" outlineLevel="0" collapsed="false">
      <c r="A18" s="2" t="str">
        <f aca="false">AR_Data!A18</f>
        <v>거래처Q</v>
      </c>
      <c r="B18" s="3" t="n">
        <f aca="false">AR_Data!B18</f>
        <v>46040</v>
      </c>
      <c r="C18" s="10" t="n">
        <f aca="false">AR_Data!C18</f>
        <v>16000000</v>
      </c>
      <c r="D18" s="11" t="n">
        <f aca="true">TODAY()-B18</f>
        <v>178</v>
      </c>
      <c r="E18" s="12" t="n">
        <f aca="false">VLOOKUP(D18,Aging_Policy!$A$2:$D$5,4,TRUE())</f>
        <v>0.05</v>
      </c>
      <c r="F18" s="10" t="n">
        <f aca="false">C18*E18</f>
        <v>800000</v>
      </c>
    </row>
    <row r="19" customFormat="false" ht="17.15" hidden="false" customHeight="false" outlineLevel="0" collapsed="false">
      <c r="A19" s="2" t="str">
        <f aca="false">AR_Data!A19</f>
        <v>거래처R</v>
      </c>
      <c r="B19" s="3" t="n">
        <f aca="false">AR_Data!B19</f>
        <v>46028</v>
      </c>
      <c r="C19" s="10" t="n">
        <f aca="false">AR_Data!C19</f>
        <v>14000000</v>
      </c>
      <c r="D19" s="11" t="n">
        <f aca="true">TODAY()-B19</f>
        <v>190</v>
      </c>
      <c r="E19" s="12" t="n">
        <f aca="false">VLOOKUP(D19,Aging_Policy!$A$2:$D$5,4,TRUE())</f>
        <v>0.2</v>
      </c>
      <c r="F19" s="10" t="n">
        <f aca="false">C19*E19</f>
        <v>2800000</v>
      </c>
    </row>
    <row r="20" customFormat="false" ht="17.15" hidden="false" customHeight="false" outlineLevel="0" collapsed="false">
      <c r="A20" s="2" t="str">
        <f aca="false">AR_Data!A20</f>
        <v>거래처S</v>
      </c>
      <c r="B20" s="3" t="n">
        <f aca="false">AR_Data!B20</f>
        <v>46203</v>
      </c>
      <c r="C20" s="10" t="n">
        <f aca="false">AR_Data!C20</f>
        <v>51000000</v>
      </c>
      <c r="D20" s="11" t="n">
        <f aca="true">TODAY()-B20</f>
        <v>15</v>
      </c>
      <c r="E20" s="12" t="n">
        <f aca="false">VLOOKUP(D20,Aging_Policy!$A$2:$D$5,4,TRUE())</f>
        <v>0.01</v>
      </c>
      <c r="F20" s="10" t="n">
        <f aca="false">C20*E20</f>
        <v>510000</v>
      </c>
    </row>
    <row r="21" customFormat="false" ht="17.15" hidden="false" customHeight="false" outlineLevel="0" collapsed="false">
      <c r="A21" s="2" t="str">
        <f aca="false">AR_Data!A21</f>
        <v>거래처T</v>
      </c>
      <c r="B21" s="3" t="n">
        <f aca="false">AR_Data!B21</f>
        <v>46130</v>
      </c>
      <c r="C21" s="10" t="n">
        <f aca="false">AR_Data!C21</f>
        <v>15000000</v>
      </c>
      <c r="D21" s="11" t="n">
        <f aca="true">TODAY()-B21</f>
        <v>88</v>
      </c>
      <c r="E21" s="12" t="n">
        <f aca="false">VLOOKUP(D21,Aging_Policy!$A$2:$D$5,4,TRUE())</f>
        <v>0.01</v>
      </c>
      <c r="F21" s="10" t="n">
        <f aca="false">C21*E21</f>
        <v>150000</v>
      </c>
    </row>
    <row r="22" customFormat="false" ht="15" hidden="false" customHeight="false" outlineLevel="0" collapsed="false">
      <c r="A22" s="13" t="s">
        <v>36</v>
      </c>
      <c r="C22" s="14" t="n">
        <f aca="false">SUM(C2:C21)</f>
        <v>798000000</v>
      </c>
      <c r="F22" s="14" t="n">
        <f aca="false">SUM(F2:F21)</f>
        <v>253090000</v>
      </c>
    </row>
    <row r="24" customFormat="false" ht="15" hidden="false" customHeight="false" outlineLevel="0" collapsed="false">
      <c r="A24" s="13" t="s">
        <v>37</v>
      </c>
    </row>
    <row r="25" customFormat="false" ht="15" hidden="false" customHeight="false" outlineLevel="0" collapsed="false">
      <c r="A25" s="15" t="s">
        <v>25</v>
      </c>
      <c r="B25" s="15" t="s">
        <v>38</v>
      </c>
      <c r="C25" s="15" t="s">
        <v>39</v>
      </c>
    </row>
    <row r="26" customFormat="false" ht="17.15" hidden="false" customHeight="false" outlineLevel="0" collapsed="false">
      <c r="A26" s="16" t="s">
        <v>40</v>
      </c>
      <c r="B26" s="2" t="n">
        <f aca="false">COUNTIFS($E$2:$E21,Aging_Policy!D2)</f>
        <v>4</v>
      </c>
      <c r="C26" s="10" t="n">
        <f aca="false">SUMIFS($F$2:$F21,$E$2:$E21,Aging_Policy!D2)</f>
        <v>1340000</v>
      </c>
    </row>
    <row r="27" customFormat="false" ht="17.15" hidden="false" customHeight="false" outlineLevel="0" collapsed="false">
      <c r="A27" s="16" t="s">
        <v>41</v>
      </c>
      <c r="B27" s="2" t="n">
        <f aca="false">COUNTIFS($E$2:$E21,Aging_Policy!D3)</f>
        <v>4</v>
      </c>
      <c r="C27" s="10" t="n">
        <f aca="false">SUMIFS($F$2:$F21,$E$2:$E21,Aging_Policy!D3)</f>
        <v>5150000</v>
      </c>
    </row>
    <row r="28" customFormat="false" ht="17.15" hidden="false" customHeight="false" outlineLevel="0" collapsed="false">
      <c r="A28" s="16" t="s">
        <v>42</v>
      </c>
      <c r="B28" s="2" t="n">
        <f aca="false">COUNTIFS($E$2:$E21,Aging_Policy!D4)</f>
        <v>4</v>
      </c>
      <c r="C28" s="10" t="n">
        <f aca="false">SUMIFS($F$2:$F21,$E$2:$E21,Aging_Policy!D4)</f>
        <v>22600000</v>
      </c>
    </row>
    <row r="29" customFormat="false" ht="17.15" hidden="false" customHeight="false" outlineLevel="0" collapsed="false">
      <c r="A29" s="16" t="s">
        <v>43</v>
      </c>
      <c r="B29" s="2" t="n">
        <f aca="false">COUNTIFS($E$2:$E21,Aging_Policy!D5)</f>
        <v>8</v>
      </c>
      <c r="C29" s="10" t="n">
        <f aca="false">SUMIFS($F$2:$F21,$E$2:$E21,Aging_Policy!D5)</f>
        <v>224000000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2026-07-15T01:05:10Z</dcterms:created>
  <dc:creator>openpyxl</dc:creator>
  <dc:description/>
  <dc:language>en-US</dc:language>
  <cp:lastModifiedBy/>
  <dcterms:modified xsi:type="dcterms:W3CDTF">2026-07-15T01:05:10Z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